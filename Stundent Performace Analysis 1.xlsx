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pivotTables/pivotTable11.xml" ContentType="application/vnd.openxmlformats-officedocument.spreadsheetml.pivotTable+xml"/>
  <Override PartName="/xl/drawings/drawing5.xml" ContentType="application/vnd.openxmlformats-officedocument.drawing+xml"/>
  <Override PartName="/xl/pivotTables/pivotTable12.xml" ContentType="application/vnd.openxmlformats-officedocument.spreadsheetml.pivotTable+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https://d.docs.live.net/fde643158ebb73e8/"/>
    </mc:Choice>
  </mc:AlternateContent>
  <xr:revisionPtr revIDLastSave="5" documentId="8_{0A8CF135-1920-4741-B124-7D6E1C70AA6B}" xr6:coauthVersionLast="47" xr6:coauthVersionMax="47" xr10:uidLastSave="{23D31C60-600B-452B-8818-CD0167A37BDC}"/>
  <bookViews>
    <workbookView xWindow="-108" yWindow="-108" windowWidth="23256" windowHeight="12456" xr2:uid="{A76043C6-428B-45F1-A1E6-B58CC12E893D}"/>
  </bookViews>
  <sheets>
    <sheet name="Dashboard" sheetId="12" r:id="rId1"/>
    <sheet name="Sheet1" sheetId="1" r:id="rId2"/>
    <sheet name="Cleaning log" sheetId="2" r:id="rId3"/>
    <sheet name="Validation Practice" sheetId="7" r:id="rId4"/>
    <sheet name="Summary Statistics" sheetId="10" r:id="rId5"/>
    <sheet name="Analysis" sheetId="13" r:id="rId6"/>
    <sheet name="Pivot Table" sheetId="11" r:id="rId7"/>
    <sheet name="Sheet3" sheetId="3" r:id="rId8"/>
    <sheet name="Sheet2" sheetId="14" state="hidden" r:id="rId9"/>
    <sheet name="Sheet2 (2)" sheetId="15" state="hidden" r:id="rId10"/>
    <sheet name="Sheet2 (3)" sheetId="16" state="hidden" r:id="rId11"/>
    <sheet name="Sheet2 (4)" sheetId="18" state="hidden" r:id="rId12"/>
    <sheet name="Sheet5" sheetId="20" state="hidden" r:id="rId13"/>
  </sheets>
  <definedNames>
    <definedName name="Slicer_Department">#N/A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1" i="12" l="1"/>
  <c r="AB20" i="12"/>
  <c r="A5" i="16"/>
  <c r="A5" i="20"/>
  <c r="A5" i="18"/>
  <c r="G7" i="11"/>
  <c r="G4" i="11"/>
  <c r="I2" i="10"/>
  <c r="H2" i="10"/>
  <c r="G2" i="10"/>
  <c r="F2" i="10"/>
  <c r="E2" i="10"/>
  <c r="D2" i="10"/>
  <c r="C2" i="10"/>
  <c r="B2" i="10"/>
  <c r="A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B20" authorId="0" shapeId="0" xr:uid="{F5793A2D-44F1-4F39-8C92-D80514373FF4}">
      <text>
        <r>
          <rPr>
            <b/>
            <sz val="9"/>
            <color indexed="81"/>
            <rFont val="Tahoma"/>
            <charset val="1"/>
          </rPr>
          <t>HP:</t>
        </r>
        <r>
          <rPr>
            <sz val="9"/>
            <color indexed="81"/>
            <rFont val="Tahoma"/>
            <charset val="1"/>
          </rPr>
          <t xml:space="preserve">
Live KPI linked to cleaned student dataset on Sheet1.</t>
        </r>
      </text>
    </comment>
    <comment ref="AB21" authorId="0" shapeId="0" xr:uid="{32203634-B3CD-47EC-ACDE-5BA3A4706843}">
      <text>
        <r>
          <rPr>
            <b/>
            <sz val="9"/>
            <color indexed="81"/>
            <rFont val="Tahoma"/>
            <charset val="1"/>
          </rPr>
          <t>HP:</t>
        </r>
        <r>
          <rPr>
            <sz val="9"/>
            <color indexed="81"/>
            <rFont val="Tahoma"/>
            <charset val="1"/>
          </rPr>
          <t xml:space="preserve">
Live KPI linked to cleaned student dataset on Sheet1.</t>
        </r>
      </text>
    </comment>
  </commentList>
</comments>
</file>

<file path=xl/sharedStrings.xml><?xml version="1.0" encoding="utf-8"?>
<sst xmlns="http://schemas.openxmlformats.org/spreadsheetml/2006/main" count="408" uniqueCount="131">
  <si>
    <t>Student ID</t>
  </si>
  <si>
    <t>Student Name</t>
  </si>
  <si>
    <t>Age</t>
  </si>
  <si>
    <t>Gender</t>
  </si>
  <si>
    <t>Department</t>
  </si>
  <si>
    <t>Study Hours</t>
  </si>
  <si>
    <t>Attendance Percentage</t>
  </si>
  <si>
    <t>Exam Score</t>
  </si>
  <si>
    <t>STU001</t>
  </si>
  <si>
    <t>Chinedu Okafor</t>
  </si>
  <si>
    <t>Male</t>
  </si>
  <si>
    <t>History</t>
  </si>
  <si>
    <t>STU002</t>
  </si>
  <si>
    <t>Amaka Eze</t>
  </si>
  <si>
    <t>Female</t>
  </si>
  <si>
    <t>Economics</t>
  </si>
  <si>
    <t>STU003</t>
  </si>
  <si>
    <t>Tunde Bakare</t>
  </si>
  <si>
    <t>Computer Science</t>
  </si>
  <si>
    <t>STU004</t>
  </si>
  <si>
    <t>Fatima Bello</t>
  </si>
  <si>
    <t>STU005</t>
  </si>
  <si>
    <t>David Johnson</t>
  </si>
  <si>
    <t>STU006</t>
  </si>
  <si>
    <t>Blessing Okoro</t>
  </si>
  <si>
    <t>STU007</t>
  </si>
  <si>
    <t>Ibrahim Musa</t>
  </si>
  <si>
    <t>STU008</t>
  </si>
  <si>
    <t>Grace Adeyemi</t>
  </si>
  <si>
    <t>STU009</t>
  </si>
  <si>
    <t>Samuel Nwosu</t>
  </si>
  <si>
    <t>STU010</t>
  </si>
  <si>
    <t>Esther Adebayo</t>
  </si>
  <si>
    <t>STU011</t>
  </si>
  <si>
    <t>Michael Ojo</t>
  </si>
  <si>
    <t>STU012</t>
  </si>
  <si>
    <t>Ngozi Obi</t>
  </si>
  <si>
    <t>STU013</t>
  </si>
  <si>
    <t>Daniel James</t>
  </si>
  <si>
    <t>STU014</t>
  </si>
  <si>
    <t>Aisha Mohammed</t>
  </si>
  <si>
    <t>STU015</t>
  </si>
  <si>
    <t>Peter Udo</t>
  </si>
  <si>
    <t>STU016</t>
  </si>
  <si>
    <t>Maryann Joseph</t>
  </si>
  <si>
    <t>STU017</t>
  </si>
  <si>
    <t>Kelvin Ekanem</t>
  </si>
  <si>
    <t>STU018</t>
  </si>
  <si>
    <t>Adaeze Nnamdi</t>
  </si>
  <si>
    <t>STU019</t>
  </si>
  <si>
    <t>Victor Chukwu</t>
  </si>
  <si>
    <t>STU020</t>
  </si>
  <si>
    <t>Sarah Williams</t>
  </si>
  <si>
    <t>STU021</t>
  </si>
  <si>
    <t>Emeka Nwankwo</t>
  </si>
  <si>
    <t>STU022</t>
  </si>
  <si>
    <t>Jennifer Okafor</t>
  </si>
  <si>
    <t>STU023</t>
  </si>
  <si>
    <t>Abdul Rahman</t>
  </si>
  <si>
    <t>STU024</t>
  </si>
  <si>
    <t>Ruth Ibe</t>
  </si>
  <si>
    <t>STU025</t>
  </si>
  <si>
    <t>STU026</t>
  </si>
  <si>
    <t>Favour Daniel</t>
  </si>
  <si>
    <t>STU027</t>
  </si>
  <si>
    <t>Anthony Obi</t>
  </si>
  <si>
    <t>computer science</t>
  </si>
  <si>
    <t>STU028</t>
  </si>
  <si>
    <t>Vivian George</t>
  </si>
  <si>
    <t>STU029</t>
  </si>
  <si>
    <t>Hassan Ali</t>
  </si>
  <si>
    <t>STU030</t>
  </si>
  <si>
    <t>Precious James</t>
  </si>
  <si>
    <t>female</t>
  </si>
  <si>
    <t>Row Number</t>
  </si>
  <si>
    <t>Column Name</t>
  </si>
  <si>
    <t>Problem Identified</t>
  </si>
  <si>
    <t>Action Taken</t>
  </si>
  <si>
    <t>Reason</t>
  </si>
  <si>
    <t>Missing value</t>
  </si>
  <si>
    <t>Not corrected yet</t>
  </si>
  <si>
    <t>Age is not provided in the dataset</t>
  </si>
  <si>
    <t>Examscore</t>
  </si>
  <si>
    <t>Examscore is not provided in the dataset</t>
  </si>
  <si>
    <t>Must compare all fields before deciding</t>
  </si>
  <si>
    <t xml:space="preserve"> Student Name</t>
  </si>
  <si>
    <t>Possible Duplicate Value</t>
  </si>
  <si>
    <t>Inconsistent capitalization</t>
  </si>
  <si>
    <t>Changed to Computer Science</t>
  </si>
  <si>
    <t>Standardize department names</t>
  </si>
  <si>
    <t>Value exceeds 100%</t>
  </si>
  <si>
    <t>Flagged for investigation</t>
  </si>
  <si>
    <t>Attendance should be between 0% and 100%</t>
  </si>
  <si>
    <t>Negative Value</t>
  </si>
  <si>
    <t>Study hours cannot be Negative</t>
  </si>
  <si>
    <t>Changed to Female</t>
  </si>
  <si>
    <t>Standardize Gender Name</t>
  </si>
  <si>
    <t>Total number of student records</t>
  </si>
  <si>
    <t>Average age</t>
  </si>
  <si>
    <t>Average study hours</t>
  </si>
  <si>
    <t>Average attendance percentage</t>
  </si>
  <si>
    <t>Average exam score</t>
  </si>
  <si>
    <t>Highest exam score</t>
  </si>
  <si>
    <t>Lowest exam score</t>
  </si>
  <si>
    <t>Total number of male students</t>
  </si>
  <si>
    <t>Total number of female students</t>
  </si>
  <si>
    <t>Row Labels</t>
  </si>
  <si>
    <t>Grand Total</t>
  </si>
  <si>
    <t>Average of Exam Score</t>
  </si>
  <si>
    <t>Number of Students that Scored atleast 70</t>
  </si>
  <si>
    <t>Number of Students that Scored atleast  50</t>
  </si>
  <si>
    <t>Count of Student ID</t>
  </si>
  <si>
    <t>PIVOT TABLE II</t>
  </si>
  <si>
    <t>PIVOT TABLE I</t>
  </si>
  <si>
    <t>PIVOT TABLE III</t>
  </si>
  <si>
    <t>PIVOT TABLE IV</t>
  </si>
  <si>
    <t>PIVOT TABLE V</t>
  </si>
  <si>
    <t>PIVOT TABLE VI</t>
  </si>
  <si>
    <t>PIVOT TABLE VII</t>
  </si>
  <si>
    <t>Contains the Average examscore for each department, indicating which department has the highest average examscore</t>
  </si>
  <si>
    <t>Contains the Average examscore for each department, indicating which department has the Lowest average examscore</t>
  </si>
  <si>
    <t>Contains the Average examscore for both genders. Showing the Average examscore for male</t>
  </si>
  <si>
    <t>Contains the Average examscore for both genders. Showing the Average examscore for Female</t>
  </si>
  <si>
    <t>Contains the Average examscore for each department,and how many student in that department</t>
  </si>
  <si>
    <t>Contains the Total number of both male and female students</t>
  </si>
  <si>
    <t>Contains the study hours,and the average examscore for a study hour.Indicating how many student studied for that hours</t>
  </si>
  <si>
    <t>Average of Study Hours</t>
  </si>
  <si>
    <t>STUDENTS PERFORMANCE ANALYSIS DASHBOARD</t>
  </si>
  <si>
    <t>Average of Attendance Percentage</t>
  </si>
  <si>
    <t>Average Study Hours</t>
  </si>
  <si>
    <t>Sum of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</si>
</sst>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1"/>
      <color theme="0"/>
      <name val="Aptos Narrow"/>
      <family val="2"/>
      <scheme val="minor"/>
    </font>
    <font>
      <b/>
      <sz val="14"/>
      <color theme="1"/>
      <name val="Aptos Narrow"/>
      <family val="2"/>
      <scheme val="minor"/>
    </font>
    <font>
      <sz val="20"/>
      <color theme="1"/>
      <name val="Aptos Narrow"/>
      <family val="2"/>
      <scheme val="minor"/>
    </font>
    <font>
      <sz val="48"/>
      <color theme="2"/>
      <name val="Aptos Narrow"/>
      <family val="2"/>
      <scheme val="minor"/>
    </font>
    <font>
      <sz val="9"/>
      <color indexed="81"/>
      <name val="Tahoma"/>
      <charset val="1"/>
    </font>
    <font>
      <b/>
      <sz val="9"/>
      <color indexed="81"/>
      <name val="Tahoma"/>
      <charset val="1"/>
    </font>
    <font>
      <sz val="11"/>
      <color rgb="FF000000"/>
      <name val="Aptos Narrow"/>
      <scheme val="minor"/>
    </font>
  </fonts>
  <fills count="7">
    <fill>
      <patternFill patternType="none"/>
    </fill>
    <fill>
      <patternFill patternType="gray125"/>
    </fill>
    <fill>
      <patternFill patternType="solid">
        <fgColor theme="7"/>
        <bgColor indexed="64"/>
      </patternFill>
    </fill>
    <fill>
      <patternFill patternType="solid">
        <fgColor theme="4"/>
        <bgColor theme="4"/>
      </patternFill>
    </fill>
    <fill>
      <patternFill patternType="solid">
        <fgColor theme="3" tint="0.89999084444715716"/>
        <bgColor indexed="64"/>
      </patternFill>
    </fill>
    <fill>
      <patternFill patternType="solid">
        <fgColor theme="2" tint="-0.749992370372631"/>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4" tint="0.39997558519241921"/>
      </left>
      <right style="thin">
        <color theme="4" tint="0.39997558519241921"/>
      </right>
      <top/>
      <bottom style="thin">
        <color theme="4" tint="0.39997558519241921"/>
      </bottom>
      <diagonal/>
    </border>
  </borders>
  <cellStyleXfs count="1">
    <xf numFmtId="0" fontId="0" fillId="0" borderId="0"/>
  </cellStyleXfs>
  <cellXfs count="3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1" fillId="0" borderId="0" xfId="0" applyFont="1"/>
    <xf numFmtId="0" fontId="1" fillId="0" borderId="0" xfId="0" applyFont="1" applyAlignment="1">
      <alignment horizontal="left"/>
    </xf>
    <xf numFmtId="0" fontId="1" fillId="0" borderId="0" xfId="0" applyFont="1" applyAlignment="1">
      <alignment horizontal="lef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Border="1" applyAlignment="1">
      <alignment vertical="center" wrapText="1"/>
    </xf>
    <xf numFmtId="0" fontId="0" fillId="0" borderId="1" xfId="0" applyBorder="1" applyAlignment="1">
      <alignment vertical="center" wrapText="1"/>
    </xf>
    <xf numFmtId="9" fontId="0" fillId="0" borderId="1" xfId="0" applyNumberFormat="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9" fontId="0" fillId="0" borderId="8" xfId="0" applyNumberFormat="1" applyBorder="1" applyAlignment="1">
      <alignment vertical="center" wrapText="1"/>
    </xf>
    <xf numFmtId="0" fontId="1" fillId="2" borderId="0" xfId="0" applyFont="1" applyFill="1"/>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1" fontId="0" fillId="0" borderId="0" xfId="0" pivotButton="1" applyNumberFormat="1"/>
    <xf numFmtId="1" fontId="0" fillId="0" borderId="0" xfId="0" applyNumberFormat="1" applyAlignment="1">
      <alignment horizontal="left"/>
    </xf>
    <xf numFmtId="0" fontId="2" fillId="3" borderId="9" xfId="0" applyFont="1" applyFill="1" applyBorder="1"/>
    <xf numFmtId="0" fontId="3" fillId="0" borderId="0" xfId="0" applyFont="1"/>
    <xf numFmtId="0" fontId="3" fillId="0" borderId="0" xfId="0" applyFont="1" applyAlignment="1">
      <alignment horizontal="left"/>
    </xf>
    <xf numFmtId="0" fontId="3" fillId="2" borderId="1" xfId="0" applyFont="1" applyFill="1" applyBorder="1"/>
    <xf numFmtId="0" fontId="1" fillId="4" borderId="1" xfId="0" applyFont="1" applyFill="1" applyBorder="1"/>
    <xf numFmtId="0" fontId="4" fillId="0" borderId="0" xfId="0" applyFont="1"/>
    <xf numFmtId="9" fontId="0" fillId="0" borderId="0" xfId="0" applyNumberFormat="1"/>
    <xf numFmtId="10" fontId="0" fillId="0" borderId="0" xfId="0" applyNumberFormat="1"/>
    <xf numFmtId="1" fontId="8" fillId="6" borderId="0" xfId="0" applyNumberFormat="1" applyFont="1" applyFill="1" applyAlignment="1">
      <alignment horizontal="right"/>
    </xf>
    <xf numFmtId="0" fontId="5" fillId="5" borderId="0" xfId="0" applyFont="1" applyFill="1" applyAlignment="1">
      <alignment horizontal="center" vertical="center"/>
    </xf>
  </cellXfs>
  <cellStyles count="1">
    <cellStyle name="Normal" xfId="0" builtinId="0"/>
  </cellStyles>
  <dxfs count="39">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0" formatCode="General"/>
    </dxf>
    <dxf>
      <numFmt numFmtId="1" formatCode="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7"/>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Relationship Between Study Hours and Examscore</a:t>
            </a:r>
          </a:p>
        </c:rich>
      </c:tx>
      <c:layout>
        <c:manualLayout>
          <c:xMode val="edge"/>
          <c:yMode val="edge"/>
          <c:x val="0.1632541362227454"/>
          <c:y val="4.10118445026720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0347841481448767E-2"/>
          <c:y val="0.21339471027660004"/>
          <c:w val="0.9116447944006999"/>
          <c:h val="0.72466241971009904"/>
        </c:manualLayout>
      </c:layout>
      <c:scatterChart>
        <c:scatterStyle val="lineMarker"/>
        <c:varyColors val="0"/>
        <c:ser>
          <c:idx val="0"/>
          <c:order val="0"/>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Sheet1!$F$2:$F$31</c:f>
              <c:numCache>
                <c:formatCode>General</c:formatCode>
                <c:ptCount val="30"/>
                <c:pt idx="0">
                  <c:v>-2</c:v>
                </c:pt>
                <c:pt idx="1">
                  <c:v>2</c:v>
                </c:pt>
                <c:pt idx="2">
                  <c:v>2</c:v>
                </c:pt>
                <c:pt idx="3">
                  <c:v>3</c:v>
                </c:pt>
                <c:pt idx="4">
                  <c:v>3</c:v>
                </c:pt>
                <c:pt idx="5">
                  <c:v>3</c:v>
                </c:pt>
                <c:pt idx="6">
                  <c:v>4</c:v>
                </c:pt>
                <c:pt idx="7">
                  <c:v>4</c:v>
                </c:pt>
                <c:pt idx="8">
                  <c:v>4</c:v>
                </c:pt>
                <c:pt idx="9">
                  <c:v>4</c:v>
                </c:pt>
                <c:pt idx="10">
                  <c:v>4</c:v>
                </c:pt>
                <c:pt idx="11">
                  <c:v>5</c:v>
                </c:pt>
                <c:pt idx="12">
                  <c:v>5</c:v>
                </c:pt>
                <c:pt idx="13">
                  <c:v>5</c:v>
                </c:pt>
                <c:pt idx="14">
                  <c:v>5</c:v>
                </c:pt>
                <c:pt idx="15">
                  <c:v>5</c:v>
                </c:pt>
                <c:pt idx="16">
                  <c:v>6</c:v>
                </c:pt>
                <c:pt idx="17">
                  <c:v>6</c:v>
                </c:pt>
                <c:pt idx="18">
                  <c:v>6</c:v>
                </c:pt>
                <c:pt idx="19">
                  <c:v>6</c:v>
                </c:pt>
                <c:pt idx="20">
                  <c:v>6</c:v>
                </c:pt>
                <c:pt idx="21">
                  <c:v>7</c:v>
                </c:pt>
                <c:pt idx="22">
                  <c:v>7</c:v>
                </c:pt>
                <c:pt idx="23">
                  <c:v>7</c:v>
                </c:pt>
                <c:pt idx="24">
                  <c:v>7</c:v>
                </c:pt>
                <c:pt idx="25">
                  <c:v>8</c:v>
                </c:pt>
                <c:pt idx="26">
                  <c:v>8</c:v>
                </c:pt>
                <c:pt idx="27">
                  <c:v>8</c:v>
                </c:pt>
                <c:pt idx="28">
                  <c:v>9</c:v>
                </c:pt>
                <c:pt idx="29">
                  <c:v>10</c:v>
                </c:pt>
              </c:numCache>
            </c:numRef>
          </c:xVal>
          <c:yVal>
            <c:numRef>
              <c:f>Sheet1!$H$2:$H$31</c:f>
              <c:numCache>
                <c:formatCode>General</c:formatCode>
                <c:ptCount val="30"/>
                <c:pt idx="0">
                  <c:v>79</c:v>
                </c:pt>
                <c:pt idx="1">
                  <c:v>52</c:v>
                </c:pt>
                <c:pt idx="2">
                  <c:v>45</c:v>
                </c:pt>
                <c:pt idx="3">
                  <c:v>64</c:v>
                </c:pt>
                <c:pt idx="4">
                  <c:v>61</c:v>
                </c:pt>
                <c:pt idx="6">
                  <c:v>72</c:v>
                </c:pt>
                <c:pt idx="7">
                  <c:v>70</c:v>
                </c:pt>
                <c:pt idx="8">
                  <c:v>73</c:v>
                </c:pt>
                <c:pt idx="9">
                  <c:v>68</c:v>
                </c:pt>
                <c:pt idx="10">
                  <c:v>72</c:v>
                </c:pt>
                <c:pt idx="11">
                  <c:v>76</c:v>
                </c:pt>
                <c:pt idx="12">
                  <c:v>79</c:v>
                </c:pt>
                <c:pt idx="13">
                  <c:v>74</c:v>
                </c:pt>
                <c:pt idx="14">
                  <c:v>75</c:v>
                </c:pt>
                <c:pt idx="15">
                  <c:v>71</c:v>
                </c:pt>
                <c:pt idx="16">
                  <c:v>88</c:v>
                </c:pt>
                <c:pt idx="17">
                  <c:v>81</c:v>
                </c:pt>
                <c:pt idx="18">
                  <c:v>86</c:v>
                </c:pt>
                <c:pt idx="19">
                  <c:v>80</c:v>
                </c:pt>
                <c:pt idx="20">
                  <c:v>77</c:v>
                </c:pt>
                <c:pt idx="21">
                  <c:v>85</c:v>
                </c:pt>
                <c:pt idx="22">
                  <c:v>87</c:v>
                </c:pt>
                <c:pt idx="23">
                  <c:v>84</c:v>
                </c:pt>
                <c:pt idx="24">
                  <c:v>83</c:v>
                </c:pt>
                <c:pt idx="25">
                  <c:v>91</c:v>
                </c:pt>
                <c:pt idx="26">
                  <c:v>92</c:v>
                </c:pt>
                <c:pt idx="27">
                  <c:v>90</c:v>
                </c:pt>
                <c:pt idx="28">
                  <c:v>95</c:v>
                </c:pt>
                <c:pt idx="29">
                  <c:v>98</c:v>
                </c:pt>
              </c:numCache>
            </c:numRef>
          </c:yVal>
          <c:smooth val="0"/>
          <c:extLst>
            <c:ext xmlns:c16="http://schemas.microsoft.com/office/drawing/2014/chart" uri="{C3380CC4-5D6E-409C-BE32-E72D297353CC}">
              <c16:uniqueId val="{00000000-C7C6-412D-BD38-7108E9B53947}"/>
            </c:ext>
          </c:extLst>
        </c:ser>
        <c:dLbls>
          <c:showLegendKey val="0"/>
          <c:showVal val="0"/>
          <c:showCatName val="0"/>
          <c:showSerName val="0"/>
          <c:showPercent val="0"/>
          <c:showBubbleSize val="0"/>
        </c:dLbls>
        <c:axId val="1217540623"/>
        <c:axId val="1217540143"/>
      </c:scatterChart>
      <c:valAx>
        <c:axId val="12175406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7540143"/>
        <c:crosses val="autoZero"/>
        <c:crossBetween val="midCat"/>
      </c:valAx>
      <c:valAx>
        <c:axId val="12175401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7540623"/>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Relationship Between Attendace % and Examscore</a:t>
            </a:r>
          </a:p>
        </c:rich>
      </c:tx>
      <c:layout>
        <c:manualLayout>
          <c:xMode val="edge"/>
          <c:yMode val="edge"/>
          <c:x val="0.12823595800524934"/>
          <c:y val="4.16667828025921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04355894907075"/>
          <c:y val="0.18606600000606421"/>
          <c:w val="0.83206192896773978"/>
          <c:h val="0.72672223030932648"/>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Sheet1!$G$2:$G$31</c:f>
              <c:numCache>
                <c:formatCode>0%</c:formatCode>
                <c:ptCount val="30"/>
                <c:pt idx="0">
                  <c:v>0.88</c:v>
                </c:pt>
                <c:pt idx="1">
                  <c:v>0.65</c:v>
                </c:pt>
                <c:pt idx="2">
                  <c:v>0.57999999999999996</c:v>
                </c:pt>
                <c:pt idx="3">
                  <c:v>0.78</c:v>
                </c:pt>
                <c:pt idx="4">
                  <c:v>0.72</c:v>
                </c:pt>
                <c:pt idx="5">
                  <c:v>0.74</c:v>
                </c:pt>
                <c:pt idx="6">
                  <c:v>0.85</c:v>
                </c:pt>
                <c:pt idx="7">
                  <c:v>0.81</c:v>
                </c:pt>
                <c:pt idx="8">
                  <c:v>0.86</c:v>
                </c:pt>
                <c:pt idx="9">
                  <c:v>0.79</c:v>
                </c:pt>
                <c:pt idx="10">
                  <c:v>0.85</c:v>
                </c:pt>
                <c:pt idx="11">
                  <c:v>0.88</c:v>
                </c:pt>
                <c:pt idx="12">
                  <c:v>0.89</c:v>
                </c:pt>
                <c:pt idx="13">
                  <c:v>0.84</c:v>
                </c:pt>
                <c:pt idx="14">
                  <c:v>0.83</c:v>
                </c:pt>
                <c:pt idx="15">
                  <c:v>0.82</c:v>
                </c:pt>
                <c:pt idx="16">
                  <c:v>0.92</c:v>
                </c:pt>
                <c:pt idx="17">
                  <c:v>0.9</c:v>
                </c:pt>
                <c:pt idx="18">
                  <c:v>0.95</c:v>
                </c:pt>
                <c:pt idx="19">
                  <c:v>0.87</c:v>
                </c:pt>
                <c:pt idx="20">
                  <c:v>0.89</c:v>
                </c:pt>
                <c:pt idx="21">
                  <c:v>0.94</c:v>
                </c:pt>
                <c:pt idx="22">
                  <c:v>0.93</c:v>
                </c:pt>
                <c:pt idx="23">
                  <c:v>0.91</c:v>
                </c:pt>
                <c:pt idx="24">
                  <c:v>1.05</c:v>
                </c:pt>
                <c:pt idx="25">
                  <c:v>0.96</c:v>
                </c:pt>
                <c:pt idx="26">
                  <c:v>0.97</c:v>
                </c:pt>
                <c:pt idx="27">
                  <c:v>0.96</c:v>
                </c:pt>
                <c:pt idx="28">
                  <c:v>0.98</c:v>
                </c:pt>
                <c:pt idx="29">
                  <c:v>0.99</c:v>
                </c:pt>
              </c:numCache>
            </c:numRef>
          </c:xVal>
          <c:yVal>
            <c:numRef>
              <c:f>Sheet1!$H$2:$H$31</c:f>
              <c:numCache>
                <c:formatCode>General</c:formatCode>
                <c:ptCount val="30"/>
                <c:pt idx="0">
                  <c:v>79</c:v>
                </c:pt>
                <c:pt idx="1">
                  <c:v>52</c:v>
                </c:pt>
                <c:pt idx="2">
                  <c:v>45</c:v>
                </c:pt>
                <c:pt idx="3">
                  <c:v>64</c:v>
                </c:pt>
                <c:pt idx="4">
                  <c:v>61</c:v>
                </c:pt>
                <c:pt idx="6">
                  <c:v>72</c:v>
                </c:pt>
                <c:pt idx="7">
                  <c:v>70</c:v>
                </c:pt>
                <c:pt idx="8">
                  <c:v>73</c:v>
                </c:pt>
                <c:pt idx="9">
                  <c:v>68</c:v>
                </c:pt>
                <c:pt idx="10">
                  <c:v>72</c:v>
                </c:pt>
                <c:pt idx="11">
                  <c:v>76</c:v>
                </c:pt>
                <c:pt idx="12">
                  <c:v>79</c:v>
                </c:pt>
                <c:pt idx="13">
                  <c:v>74</c:v>
                </c:pt>
                <c:pt idx="14">
                  <c:v>75</c:v>
                </c:pt>
                <c:pt idx="15">
                  <c:v>71</c:v>
                </c:pt>
                <c:pt idx="16">
                  <c:v>88</c:v>
                </c:pt>
                <c:pt idx="17">
                  <c:v>81</c:v>
                </c:pt>
                <c:pt idx="18">
                  <c:v>86</c:v>
                </c:pt>
                <c:pt idx="19">
                  <c:v>80</c:v>
                </c:pt>
                <c:pt idx="20">
                  <c:v>77</c:v>
                </c:pt>
                <c:pt idx="21">
                  <c:v>85</c:v>
                </c:pt>
                <c:pt idx="22">
                  <c:v>87</c:v>
                </c:pt>
                <c:pt idx="23">
                  <c:v>84</c:v>
                </c:pt>
                <c:pt idx="24">
                  <c:v>83</c:v>
                </c:pt>
                <c:pt idx="25">
                  <c:v>91</c:v>
                </c:pt>
                <c:pt idx="26">
                  <c:v>92</c:v>
                </c:pt>
                <c:pt idx="27">
                  <c:v>90</c:v>
                </c:pt>
                <c:pt idx="28">
                  <c:v>95</c:v>
                </c:pt>
                <c:pt idx="29">
                  <c:v>98</c:v>
                </c:pt>
              </c:numCache>
            </c:numRef>
          </c:yVal>
          <c:smooth val="0"/>
          <c:extLst>
            <c:ext xmlns:c16="http://schemas.microsoft.com/office/drawing/2014/chart" uri="{C3380CC4-5D6E-409C-BE32-E72D297353CC}">
              <c16:uniqueId val="{00000000-5178-41AA-A61F-4086BDDCA0E2}"/>
            </c:ext>
          </c:extLst>
        </c:ser>
        <c:dLbls>
          <c:showLegendKey val="0"/>
          <c:showVal val="0"/>
          <c:showCatName val="0"/>
          <c:showSerName val="0"/>
          <c:showPercent val="0"/>
          <c:showBubbleSize val="0"/>
        </c:dLbls>
        <c:axId val="1420242431"/>
        <c:axId val="1420260191"/>
      </c:scatterChart>
      <c:valAx>
        <c:axId val="142024243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0260191"/>
        <c:crosses val="autoZero"/>
        <c:crossBetween val="midCat"/>
      </c:valAx>
      <c:valAx>
        <c:axId val="14202601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0242431"/>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[Stundent Performace Analysis 1.xlsx]Sheet2!PivotTable1</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 Examscore by Department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Sheet2!$A$4:$A$5</c:f>
              <c:strCache>
                <c:ptCount val="1"/>
                <c:pt idx="0">
                  <c:v>Computer Science</c:v>
                </c:pt>
              </c:strCache>
            </c:strRef>
          </c:cat>
          <c:val>
            <c:numRef>
              <c:f>Sheet2!$B$4:$B$5</c:f>
              <c:numCache>
                <c:formatCode>0</c:formatCode>
                <c:ptCount val="1"/>
                <c:pt idx="0">
                  <c:v>85</c:v>
                </c:pt>
              </c:numCache>
            </c:numRef>
          </c:val>
          <c:extLst>
            <c:ext xmlns:c16="http://schemas.microsoft.com/office/drawing/2014/chart" uri="{C3380CC4-5D6E-409C-BE32-E72D297353CC}">
              <c16:uniqueId val="{00000000-16F5-4856-A447-8F8EFC12A7A7}"/>
            </c:ext>
          </c:extLst>
        </c:ser>
        <c:dLbls>
          <c:showLegendKey val="0"/>
          <c:showVal val="1"/>
          <c:showCatName val="0"/>
          <c:showSerName val="0"/>
          <c:showPercent val="0"/>
          <c:showBubbleSize val="0"/>
        </c:dLbls>
        <c:gapWidth val="84"/>
        <c:gapDepth val="53"/>
        <c:shape val="box"/>
        <c:axId val="1420270271"/>
        <c:axId val="1420271711"/>
        <c:axId val="0"/>
      </c:bar3DChart>
      <c:catAx>
        <c:axId val="142027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0271711"/>
        <c:crosses val="autoZero"/>
        <c:auto val="1"/>
        <c:lblAlgn val="ctr"/>
        <c:lblOffset val="100"/>
        <c:noMultiLvlLbl val="0"/>
      </c:catAx>
      <c:valAx>
        <c:axId val="1420271711"/>
        <c:scaling>
          <c:orientation val="minMax"/>
        </c:scaling>
        <c:delete val="1"/>
        <c:axPos val="b"/>
        <c:numFmt formatCode="0" sourceLinked="1"/>
        <c:majorTickMark val="out"/>
        <c:minorTickMark val="none"/>
        <c:tickLblPos val="nextTo"/>
        <c:crossAx val="142027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[Stundent Performace Analysis 1.xlsx]Sheet2 (2)!PivotTable1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Student Distribution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61592300962376E-2"/>
          <c:y val="8.581036745406824E-2"/>
          <c:w val="0.76131692913385829"/>
          <c:h val="0.70993839311752693"/>
        </c:manualLayout>
      </c:layout>
      <c:barChart>
        <c:barDir val="col"/>
        <c:grouping val="percentStacked"/>
        <c:varyColors val="0"/>
        <c:ser>
          <c:idx val="0"/>
          <c:order val="0"/>
          <c:tx>
            <c:strRef>
              <c:f>'Sheet2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 (2)'!$A$4:$A$6</c:f>
              <c:strCache>
                <c:ptCount val="2"/>
                <c:pt idx="0">
                  <c:v>Female</c:v>
                </c:pt>
                <c:pt idx="1">
                  <c:v>Male</c:v>
                </c:pt>
              </c:strCache>
            </c:strRef>
          </c:cat>
          <c:val>
            <c:numRef>
              <c:f>'Sheet2 (2)'!$B$4:$B$6</c:f>
              <c:numCache>
                <c:formatCode>General</c:formatCode>
                <c:ptCount val="2"/>
                <c:pt idx="0">
                  <c:v>15</c:v>
                </c:pt>
                <c:pt idx="1">
                  <c:v>15</c:v>
                </c:pt>
              </c:numCache>
            </c:numRef>
          </c:val>
          <c:extLst>
            <c:ext xmlns:c16="http://schemas.microsoft.com/office/drawing/2014/chart" uri="{C3380CC4-5D6E-409C-BE32-E72D297353CC}">
              <c16:uniqueId val="{00000000-14B7-42DE-A62F-47D282B2FF04}"/>
            </c:ext>
          </c:extLst>
        </c:ser>
        <c:dLbls>
          <c:showLegendKey val="0"/>
          <c:showVal val="0"/>
          <c:showCatName val="0"/>
          <c:showSerName val="0"/>
          <c:showPercent val="0"/>
          <c:showBubbleSize val="0"/>
        </c:dLbls>
        <c:gapWidth val="150"/>
        <c:overlap val="100"/>
        <c:axId val="1714867775"/>
        <c:axId val="1714868255"/>
      </c:barChart>
      <c:catAx>
        <c:axId val="1714867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4868255"/>
        <c:crosses val="autoZero"/>
        <c:auto val="1"/>
        <c:lblAlgn val="ctr"/>
        <c:lblOffset val="100"/>
        <c:noMultiLvlLbl val="0"/>
      </c:catAx>
      <c:valAx>
        <c:axId val="17148682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486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[Stundent Performace Analysis 1.xlsx]Sheet2!PivotTable1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 Examscore by Department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Sheet2!$A$4:$A$5</c:f>
              <c:strCache>
                <c:ptCount val="1"/>
                <c:pt idx="0">
                  <c:v>Computer Science</c:v>
                </c:pt>
              </c:strCache>
            </c:strRef>
          </c:cat>
          <c:val>
            <c:numRef>
              <c:f>Sheet2!$B$4:$B$5</c:f>
              <c:numCache>
                <c:formatCode>0</c:formatCode>
                <c:ptCount val="1"/>
                <c:pt idx="0">
                  <c:v>85</c:v>
                </c:pt>
              </c:numCache>
            </c:numRef>
          </c:val>
          <c:extLst>
            <c:ext xmlns:c16="http://schemas.microsoft.com/office/drawing/2014/chart" uri="{C3380CC4-5D6E-409C-BE32-E72D297353CC}">
              <c16:uniqueId val="{00000000-4383-4E3E-8D26-6B32E6BE7764}"/>
            </c:ext>
          </c:extLst>
        </c:ser>
        <c:dLbls>
          <c:showLegendKey val="0"/>
          <c:showVal val="1"/>
          <c:showCatName val="0"/>
          <c:showSerName val="0"/>
          <c:showPercent val="0"/>
          <c:showBubbleSize val="0"/>
        </c:dLbls>
        <c:gapWidth val="84"/>
        <c:gapDepth val="53"/>
        <c:shape val="box"/>
        <c:axId val="1420270271"/>
        <c:axId val="1420271711"/>
        <c:axId val="0"/>
      </c:bar3DChart>
      <c:catAx>
        <c:axId val="142027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0271711"/>
        <c:crosses val="autoZero"/>
        <c:auto val="1"/>
        <c:lblAlgn val="ctr"/>
        <c:lblOffset val="100"/>
        <c:noMultiLvlLbl val="0"/>
      </c:catAx>
      <c:valAx>
        <c:axId val="1420271711"/>
        <c:scaling>
          <c:orientation val="minMax"/>
        </c:scaling>
        <c:delete val="1"/>
        <c:axPos val="b"/>
        <c:numFmt formatCode="0" sourceLinked="1"/>
        <c:majorTickMark val="out"/>
        <c:minorTickMark val="none"/>
        <c:tickLblPos val="nextTo"/>
        <c:crossAx val="142027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[Stundent Performace Analysis 1.xlsx]Sheet2 (2)!PivotTable1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Student Distribution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 (2)'!$A$4:$A$6</c:f>
              <c:strCache>
                <c:ptCount val="2"/>
                <c:pt idx="0">
                  <c:v>Female</c:v>
                </c:pt>
                <c:pt idx="1">
                  <c:v>Male</c:v>
                </c:pt>
              </c:strCache>
            </c:strRef>
          </c:cat>
          <c:val>
            <c:numRef>
              <c:f>'Sheet2 (2)'!$B$4:$B$6</c:f>
              <c:numCache>
                <c:formatCode>General</c:formatCode>
                <c:ptCount val="2"/>
                <c:pt idx="0">
                  <c:v>15</c:v>
                </c:pt>
                <c:pt idx="1">
                  <c:v>15</c:v>
                </c:pt>
              </c:numCache>
            </c:numRef>
          </c:val>
          <c:extLst>
            <c:ext xmlns:c16="http://schemas.microsoft.com/office/drawing/2014/chart" uri="{C3380CC4-5D6E-409C-BE32-E72D297353CC}">
              <c16:uniqueId val="{00000000-580D-435F-B990-4C0EB50B1A94}"/>
            </c:ext>
          </c:extLst>
        </c:ser>
        <c:dLbls>
          <c:showLegendKey val="0"/>
          <c:showVal val="0"/>
          <c:showCatName val="0"/>
          <c:showSerName val="0"/>
          <c:showPercent val="0"/>
          <c:showBubbleSize val="0"/>
        </c:dLbls>
        <c:gapWidth val="150"/>
        <c:overlap val="100"/>
        <c:axId val="1714867775"/>
        <c:axId val="1714868255"/>
      </c:barChart>
      <c:catAx>
        <c:axId val="1714867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4868255"/>
        <c:crosses val="autoZero"/>
        <c:auto val="1"/>
        <c:lblAlgn val="ctr"/>
        <c:lblOffset val="100"/>
        <c:noMultiLvlLbl val="0"/>
      </c:catAx>
      <c:valAx>
        <c:axId val="17148682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486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419101</xdr:colOff>
      <xdr:row>12</xdr:row>
      <xdr:rowOff>114301</xdr:rowOff>
    </xdr:from>
    <xdr:to>
      <xdr:col>16</xdr:col>
      <xdr:colOff>171450</xdr:colOff>
      <xdr:row>33</xdr:row>
      <xdr:rowOff>152400</xdr:rowOff>
    </xdr:to>
    <xdr:graphicFrame macro="">
      <xdr:nvGraphicFramePr>
        <xdr:cNvPr id="4" name="Chart 3">
          <a:extLst>
            <a:ext uri="{FF2B5EF4-FFF2-40B4-BE49-F238E27FC236}">
              <a16:creationId xmlns:a16="http://schemas.microsoft.com/office/drawing/2014/main" id="{EE5460A5-E594-4A1C-B672-C61231184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180975</xdr:colOff>
      <xdr:row>12</xdr:row>
      <xdr:rowOff>123825</xdr:rowOff>
    </xdr:from>
    <xdr:to>
      <xdr:col>9</xdr:col>
      <xdr:colOff>276225</xdr:colOff>
      <xdr:row>33</xdr:row>
      <xdr:rowOff>171449</xdr:rowOff>
    </xdr:to>
    <xdr:graphicFrame macro="">
      <xdr:nvGraphicFramePr>
        <xdr:cNvPr id="5" name="Chart 4">
          <a:extLst>
            <a:ext uri="{FF2B5EF4-FFF2-40B4-BE49-F238E27FC236}">
              <a16:creationId xmlns:a16="http://schemas.microsoft.com/office/drawing/2014/main" id="{3281AB61-B62A-48E2-B696-FE5E79D66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228600</xdr:colOff>
      <xdr:row>4</xdr:row>
      <xdr:rowOff>104775</xdr:rowOff>
    </xdr:from>
    <xdr:ext cx="723900" cy="238125"/>
    <xdr:sp macro="" textlink="">
      <xdr:nvSpPr>
        <xdr:cNvPr id="9" name="TextBox 8">
          <a:extLst>
            <a:ext uri="{FF2B5EF4-FFF2-40B4-BE49-F238E27FC236}">
              <a16:creationId xmlns:a16="http://schemas.microsoft.com/office/drawing/2014/main" id="{0AC86B5F-876C-3C3F-BFE5-C83EBABD467A}"/>
            </a:ext>
          </a:extLst>
        </xdr:cNvPr>
        <xdr:cNvSpPr txBox="1"/>
      </xdr:nvSpPr>
      <xdr:spPr>
        <a:xfrm>
          <a:off x="8153400" y="828675"/>
          <a:ext cx="723900"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11</xdr:col>
      <xdr:colOff>457200</xdr:colOff>
      <xdr:row>3</xdr:row>
      <xdr:rowOff>38100</xdr:rowOff>
    </xdr:from>
    <xdr:ext cx="723900" cy="238125"/>
    <xdr:sp macro="" textlink="">
      <xdr:nvSpPr>
        <xdr:cNvPr id="10" name="TextBox 9">
          <a:extLst>
            <a:ext uri="{FF2B5EF4-FFF2-40B4-BE49-F238E27FC236}">
              <a16:creationId xmlns:a16="http://schemas.microsoft.com/office/drawing/2014/main" id="{76CC76DD-4C81-52E2-B822-CAE6E12344E3}"/>
            </a:ext>
          </a:extLst>
        </xdr:cNvPr>
        <xdr:cNvSpPr txBox="1"/>
      </xdr:nvSpPr>
      <xdr:spPr>
        <a:xfrm>
          <a:off x="7162800" y="581025"/>
          <a:ext cx="723900"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xdr:from>
      <xdr:col>15</xdr:col>
      <xdr:colOff>190499</xdr:colOff>
      <xdr:row>4</xdr:row>
      <xdr:rowOff>47623</xdr:rowOff>
    </xdr:from>
    <xdr:to>
      <xdr:col>21</xdr:col>
      <xdr:colOff>238124</xdr:colOff>
      <xdr:row>11</xdr:row>
      <xdr:rowOff>180974</xdr:rowOff>
    </xdr:to>
    <xdr:grpSp>
      <xdr:nvGrpSpPr>
        <xdr:cNvPr id="35" name="Group 34">
          <a:extLst>
            <a:ext uri="{FF2B5EF4-FFF2-40B4-BE49-F238E27FC236}">
              <a16:creationId xmlns:a16="http://schemas.microsoft.com/office/drawing/2014/main" id="{F121CED8-EEE8-ADBB-A1D2-EEC4A6E00E08}"/>
            </a:ext>
          </a:extLst>
        </xdr:cNvPr>
        <xdr:cNvGrpSpPr/>
      </xdr:nvGrpSpPr>
      <xdr:grpSpPr>
        <a:xfrm>
          <a:off x="9334499" y="771523"/>
          <a:ext cx="3705225" cy="1400176"/>
          <a:chOff x="9201149" y="1628773"/>
          <a:chExt cx="3705225" cy="1400176"/>
        </a:xfrm>
      </xdr:grpSpPr>
      <xdr:sp macro="" textlink="">
        <xdr:nvSpPr>
          <xdr:cNvPr id="18" name="Rectangle: Rounded Corners 17">
            <a:extLst>
              <a:ext uri="{FF2B5EF4-FFF2-40B4-BE49-F238E27FC236}">
                <a16:creationId xmlns:a16="http://schemas.microsoft.com/office/drawing/2014/main" id="{C16AE26E-DFB5-4B25-DEDD-C9D838426FA4}"/>
              </a:ext>
            </a:extLst>
          </xdr:cNvPr>
          <xdr:cNvSpPr/>
        </xdr:nvSpPr>
        <xdr:spPr>
          <a:xfrm>
            <a:off x="9201149" y="1628773"/>
            <a:ext cx="3705225" cy="1400176"/>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t>78</a:t>
            </a:r>
          </a:p>
        </xdr:txBody>
      </xdr:sp>
      <xdr:sp macro="" textlink="">
        <xdr:nvSpPr>
          <xdr:cNvPr id="19" name="TextBox 18">
            <a:extLst>
              <a:ext uri="{FF2B5EF4-FFF2-40B4-BE49-F238E27FC236}">
                <a16:creationId xmlns:a16="http://schemas.microsoft.com/office/drawing/2014/main" id="{D2D4393B-8309-E7B5-8313-FF0E003A0728}"/>
              </a:ext>
            </a:extLst>
          </xdr:cNvPr>
          <xdr:cNvSpPr txBox="1"/>
        </xdr:nvSpPr>
        <xdr:spPr>
          <a:xfrm>
            <a:off x="9471339" y="1641474"/>
            <a:ext cx="3177860" cy="632840"/>
          </a:xfrm>
          <a:prstGeom prst="rect">
            <a:avLst/>
          </a:prstGeom>
          <a:solidFill>
            <a:schemeClr val="bg2">
              <a:lumMod val="2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2400" b="1">
                <a:solidFill>
                  <a:schemeClr val="bg1">
                    <a:lumMod val="95000"/>
                  </a:schemeClr>
                </a:solidFill>
              </a:rPr>
              <a:t>Average</a:t>
            </a:r>
            <a:r>
              <a:rPr lang="en-GB" sz="2400" b="1"/>
              <a:t> </a:t>
            </a:r>
            <a:r>
              <a:rPr lang="en-GB" sz="2400" b="1">
                <a:solidFill>
                  <a:schemeClr val="bg2"/>
                </a:solidFill>
              </a:rPr>
              <a:t>Examscore</a:t>
            </a:r>
          </a:p>
        </xdr:txBody>
      </xdr:sp>
    </xdr:grpSp>
    <xdr:clientData/>
  </xdr:twoCellAnchor>
  <xdr:twoCellAnchor>
    <xdr:from>
      <xdr:col>22</xdr:col>
      <xdr:colOff>457200</xdr:colOff>
      <xdr:row>12</xdr:row>
      <xdr:rowOff>104776</xdr:rowOff>
    </xdr:from>
    <xdr:to>
      <xdr:col>29</xdr:col>
      <xdr:colOff>0</xdr:colOff>
      <xdr:row>33</xdr:row>
      <xdr:rowOff>104775</xdr:rowOff>
    </xdr:to>
    <xdr:graphicFrame macro="">
      <xdr:nvGraphicFramePr>
        <xdr:cNvPr id="26" name="Chart 25">
          <a:extLst>
            <a:ext uri="{FF2B5EF4-FFF2-40B4-BE49-F238E27FC236}">
              <a16:creationId xmlns:a16="http://schemas.microsoft.com/office/drawing/2014/main" id="{7E789B17-FF33-4C2A-B906-716F50794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4</xdr:row>
      <xdr:rowOff>66674</xdr:rowOff>
    </xdr:from>
    <xdr:to>
      <xdr:col>3</xdr:col>
      <xdr:colOff>104776</xdr:colOff>
      <xdr:row>33</xdr:row>
      <xdr:rowOff>146399</xdr:rowOff>
    </xdr:to>
    <mc:AlternateContent xmlns:mc="http://schemas.openxmlformats.org/markup-compatibility/2006" xmlns:a14="http://schemas.microsoft.com/office/drawing/2010/main">
      <mc:Choice Requires="a14">
        <xdr:graphicFrame macro="">
          <xdr:nvGraphicFramePr>
            <xdr:cNvPr id="27" name="Department">
              <a:extLst>
                <a:ext uri="{FF2B5EF4-FFF2-40B4-BE49-F238E27FC236}">
                  <a16:creationId xmlns:a16="http://schemas.microsoft.com/office/drawing/2014/main" id="{805F953D-F581-18B5-137D-BD386F6C800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7150" y="790574"/>
              <a:ext cx="1876426" cy="532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266701</xdr:colOff>
      <xdr:row>12</xdr:row>
      <xdr:rowOff>114300</xdr:rowOff>
    </xdr:from>
    <xdr:to>
      <xdr:col>22</xdr:col>
      <xdr:colOff>390525</xdr:colOff>
      <xdr:row>33</xdr:row>
      <xdr:rowOff>152400</xdr:rowOff>
    </xdr:to>
    <xdr:graphicFrame macro="">
      <xdr:nvGraphicFramePr>
        <xdr:cNvPr id="28" name="Chart 27">
          <a:extLst>
            <a:ext uri="{FF2B5EF4-FFF2-40B4-BE49-F238E27FC236}">
              <a16:creationId xmlns:a16="http://schemas.microsoft.com/office/drawing/2014/main" id="{0D53D6B8-7D71-45AC-BB66-29FB2AE32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381195</xdr:colOff>
      <xdr:row>21</xdr:row>
      <xdr:rowOff>54972</xdr:rowOff>
    </xdr:from>
    <xdr:to>
      <xdr:col>22</xdr:col>
      <xdr:colOff>152400</xdr:colOff>
      <xdr:row>24</xdr:row>
      <xdr:rowOff>42706</xdr:rowOff>
    </xdr:to>
    <xdr:sp macro="" textlink="">
      <xdr:nvSpPr>
        <xdr:cNvPr id="30" name="TextBox 29">
          <a:extLst>
            <a:ext uri="{FF2B5EF4-FFF2-40B4-BE49-F238E27FC236}">
              <a16:creationId xmlns:a16="http://schemas.microsoft.com/office/drawing/2014/main" id="{CCAEE872-552B-9D43-2317-D24E9D326365}"/>
            </a:ext>
          </a:extLst>
        </xdr:cNvPr>
        <xdr:cNvSpPr txBox="1"/>
      </xdr:nvSpPr>
      <xdr:spPr>
        <a:xfrm>
          <a:off x="10134795" y="3855447"/>
          <a:ext cx="3428805" cy="530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2800" b="1">
            <a:solidFill>
              <a:schemeClr val="bg2"/>
            </a:solidFill>
          </a:endParaRPr>
        </a:p>
      </xdr:txBody>
    </xdr:sp>
    <xdr:clientData/>
  </xdr:twoCellAnchor>
  <xdr:twoCellAnchor>
    <xdr:from>
      <xdr:col>8</xdr:col>
      <xdr:colOff>607193</xdr:colOff>
      <xdr:row>4</xdr:row>
      <xdr:rowOff>38098</xdr:rowOff>
    </xdr:from>
    <xdr:to>
      <xdr:col>15</xdr:col>
      <xdr:colOff>152399</xdr:colOff>
      <xdr:row>11</xdr:row>
      <xdr:rowOff>180974</xdr:rowOff>
    </xdr:to>
    <xdr:grpSp>
      <xdr:nvGrpSpPr>
        <xdr:cNvPr id="31" name="Group 30">
          <a:extLst>
            <a:ext uri="{FF2B5EF4-FFF2-40B4-BE49-F238E27FC236}">
              <a16:creationId xmlns:a16="http://schemas.microsoft.com/office/drawing/2014/main" id="{3E3AE336-FD17-443A-9DC4-867B617A6E1E}"/>
            </a:ext>
          </a:extLst>
        </xdr:cNvPr>
        <xdr:cNvGrpSpPr/>
      </xdr:nvGrpSpPr>
      <xdr:grpSpPr>
        <a:xfrm>
          <a:off x="5483993" y="761998"/>
          <a:ext cx="3812406" cy="1409701"/>
          <a:chOff x="6124370" y="1186866"/>
          <a:chExt cx="2628900" cy="990600"/>
        </a:xfrm>
      </xdr:grpSpPr>
      <xdr:sp macro="" textlink="">
        <xdr:nvSpPr>
          <xdr:cNvPr id="32" name="Rectangle: Rounded Corners 31">
            <a:extLst>
              <a:ext uri="{FF2B5EF4-FFF2-40B4-BE49-F238E27FC236}">
                <a16:creationId xmlns:a16="http://schemas.microsoft.com/office/drawing/2014/main" id="{3CB4A6B7-F2DE-07C6-3ACA-22A5BD3C5BF5}"/>
              </a:ext>
            </a:extLst>
          </xdr:cNvPr>
          <xdr:cNvSpPr/>
        </xdr:nvSpPr>
        <xdr:spPr>
          <a:xfrm>
            <a:off x="6124370" y="1186866"/>
            <a:ext cx="2628900" cy="99060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800" b="1" i="0" u="none" strike="noStrike">
                <a:solidFill>
                  <a:schemeClr val="bg2"/>
                </a:solidFill>
                <a:latin typeface="Aptos Narrow"/>
              </a:rPr>
              <a:t>87%</a:t>
            </a:r>
          </a:p>
        </xdr:txBody>
      </xdr:sp>
      <xdr:sp macro="" textlink="">
        <xdr:nvSpPr>
          <xdr:cNvPr id="33" name="TextBox 32">
            <a:extLst>
              <a:ext uri="{FF2B5EF4-FFF2-40B4-BE49-F238E27FC236}">
                <a16:creationId xmlns:a16="http://schemas.microsoft.com/office/drawing/2014/main" id="{4295DF1B-C082-DFDC-57EA-E53DE845BC27}"/>
              </a:ext>
            </a:extLst>
          </xdr:cNvPr>
          <xdr:cNvSpPr txBox="1"/>
        </xdr:nvSpPr>
        <xdr:spPr>
          <a:xfrm>
            <a:off x="6145121" y="1266281"/>
            <a:ext cx="2389792" cy="328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r"/>
            <a:r>
              <a:rPr lang="en-GB" sz="2400" b="1">
                <a:solidFill>
                  <a:schemeClr val="bg2"/>
                </a:solidFill>
              </a:rPr>
              <a:t>Average Attendance</a:t>
            </a:r>
          </a:p>
        </xdr:txBody>
      </xdr:sp>
    </xdr:grpSp>
    <xdr:clientData/>
  </xdr:twoCellAnchor>
  <xdr:twoCellAnchor>
    <xdr:from>
      <xdr:col>3</xdr:col>
      <xdr:colOff>171449</xdr:colOff>
      <xdr:row>4</xdr:row>
      <xdr:rowOff>47626</xdr:rowOff>
    </xdr:from>
    <xdr:to>
      <xdr:col>9</xdr:col>
      <xdr:colOff>66675</xdr:colOff>
      <xdr:row>11</xdr:row>
      <xdr:rowOff>133351</xdr:rowOff>
    </xdr:to>
    <xdr:grpSp>
      <xdr:nvGrpSpPr>
        <xdr:cNvPr id="13" name="Group 12">
          <a:extLst>
            <a:ext uri="{FF2B5EF4-FFF2-40B4-BE49-F238E27FC236}">
              <a16:creationId xmlns:a16="http://schemas.microsoft.com/office/drawing/2014/main" id="{253FFC06-7B35-9EB6-D860-4CDCC18CF07B}"/>
            </a:ext>
          </a:extLst>
        </xdr:cNvPr>
        <xdr:cNvGrpSpPr/>
      </xdr:nvGrpSpPr>
      <xdr:grpSpPr>
        <a:xfrm>
          <a:off x="2000249" y="771526"/>
          <a:ext cx="3552826" cy="1352550"/>
          <a:chOff x="2000249" y="771526"/>
          <a:chExt cx="3552826" cy="1352550"/>
        </a:xfrm>
      </xdr:grpSpPr>
      <xdr:grpSp>
        <xdr:nvGrpSpPr>
          <xdr:cNvPr id="20" name="Group 19">
            <a:extLst>
              <a:ext uri="{FF2B5EF4-FFF2-40B4-BE49-F238E27FC236}">
                <a16:creationId xmlns:a16="http://schemas.microsoft.com/office/drawing/2014/main" id="{3F7D3D53-82EA-5CB1-4625-23B1552E518F}"/>
              </a:ext>
            </a:extLst>
          </xdr:cNvPr>
          <xdr:cNvGrpSpPr/>
        </xdr:nvGrpSpPr>
        <xdr:grpSpPr>
          <a:xfrm>
            <a:off x="2000249" y="771526"/>
            <a:ext cx="3552826" cy="1352550"/>
            <a:chOff x="2438399" y="904874"/>
            <a:chExt cx="3000375" cy="1152525"/>
          </a:xfrm>
        </xdr:grpSpPr>
        <xdr:sp macro="" textlink="$A$5">
          <xdr:nvSpPr>
            <xdr:cNvPr id="16" name="Rectangle: Rounded Corners 15">
              <a:extLst>
                <a:ext uri="{FF2B5EF4-FFF2-40B4-BE49-F238E27FC236}">
                  <a16:creationId xmlns:a16="http://schemas.microsoft.com/office/drawing/2014/main" id="{F37C3385-AD7D-70C2-08A8-6237B0F39E43}"/>
                </a:ext>
              </a:extLst>
            </xdr:cNvPr>
            <xdr:cNvSpPr/>
          </xdr:nvSpPr>
          <xdr:spPr>
            <a:xfrm>
              <a:off x="2438399" y="904874"/>
              <a:ext cx="2899847" cy="1152525"/>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322350B-1633-49C9-98C0-F07D84C654E5}" type="TxLink">
                <a:rPr lang="en-US" sz="2800" b="1" i="0" u="none" strike="noStrike">
                  <a:solidFill>
                    <a:schemeClr val="tx2">
                      <a:lumMod val="10000"/>
                      <a:lumOff val="90000"/>
                    </a:schemeClr>
                  </a:solidFill>
                  <a:latin typeface="Aptos Narrow"/>
                </a:rPr>
                <a:pPr algn="ctr"/>
                <a:t> </a:t>
              </a:fld>
              <a:endParaRPr lang="en-GB" sz="2800" b="1">
                <a:solidFill>
                  <a:schemeClr val="tx2">
                    <a:lumMod val="10000"/>
                    <a:lumOff val="90000"/>
                  </a:schemeClr>
                </a:solidFill>
              </a:endParaRPr>
            </a:p>
          </xdr:txBody>
        </xdr:sp>
        <xdr:sp macro="" textlink="">
          <xdr:nvSpPr>
            <xdr:cNvPr id="17" name="TextBox 16">
              <a:extLst>
                <a:ext uri="{FF2B5EF4-FFF2-40B4-BE49-F238E27FC236}">
                  <a16:creationId xmlns:a16="http://schemas.microsoft.com/office/drawing/2014/main" id="{A2712C9B-9AFC-4F87-2A07-1D774A2CC9F9}"/>
                </a:ext>
              </a:extLst>
            </xdr:cNvPr>
            <xdr:cNvSpPr txBox="1"/>
          </xdr:nvSpPr>
          <xdr:spPr>
            <a:xfrm>
              <a:off x="2685853" y="1003662"/>
              <a:ext cx="2752921" cy="4380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400" b="1">
                  <a:solidFill>
                    <a:schemeClr val="bg2"/>
                  </a:solidFill>
                </a:rPr>
                <a:t>Average</a:t>
              </a:r>
              <a:r>
                <a:rPr lang="en-GB" sz="2400" b="1" baseline="0">
                  <a:solidFill>
                    <a:schemeClr val="bg2"/>
                  </a:solidFill>
                </a:rPr>
                <a:t> Study Hours</a:t>
              </a:r>
              <a:endParaRPr lang="en-GB" sz="2400" b="1">
                <a:solidFill>
                  <a:schemeClr val="bg2"/>
                </a:solidFill>
              </a:endParaRPr>
            </a:p>
          </xdr:txBody>
        </xdr:sp>
      </xdr:grpSp>
      <xdr:sp macro="" textlink="">
        <xdr:nvSpPr>
          <xdr:cNvPr id="11" name="TextBox 10">
            <a:extLst>
              <a:ext uri="{FF2B5EF4-FFF2-40B4-BE49-F238E27FC236}">
                <a16:creationId xmlns:a16="http://schemas.microsoft.com/office/drawing/2014/main" id="{F9E27319-D8F0-16D7-5314-CB44F88EA9BB}"/>
              </a:ext>
            </a:extLst>
          </xdr:cNvPr>
          <xdr:cNvSpPr txBox="1"/>
        </xdr:nvSpPr>
        <xdr:spPr>
          <a:xfrm>
            <a:off x="3473450" y="1414674"/>
            <a:ext cx="1016000" cy="530658"/>
          </a:xfrm>
          <a:prstGeom prst="rect">
            <a:avLst/>
          </a:prstGeom>
          <a:solidFill>
            <a:prstClr val="white">
              <a:alpha val="0"/>
            </a:prstClr>
          </a:solidFill>
          <a:ln>
            <a:solidFill>
              <a:prstClr val="black">
                <a:alpha val="0"/>
              </a:prstClr>
            </a:solidFill>
          </a:ln>
        </xdr:spPr>
        <xdr:txBody>
          <a:bodyPr vertOverflow="overflow" vert="horz" wrap="square" rtlCol="0" anchor="b">
            <a:spAutoFit/>
          </a:bodyPr>
          <a:lstStyle/>
          <a:p>
            <a:pPr algn="l"/>
            <a:r>
              <a:rPr kumimoji="0" lang="en-GB" sz="2800" b="1" i="0" u="none" strike="noStrike" kern="0" cap="none" spc="0" normalizeH="0" baseline="0" noProof="0">
                <a:ln>
                  <a:noFill/>
                </a:ln>
                <a:solidFill>
                  <a:srgbClr val="FFFFFF"/>
                </a:solidFill>
                <a:effectLst/>
                <a:uLnTx/>
                <a:uFillTx/>
                <a:latin typeface="Aptos Narrow" panose="02110004020202020204"/>
              </a:rPr>
              <a:t>5</a:t>
            </a:r>
          </a:p>
        </xdr:txBody>
      </xdr:sp>
    </xdr:grpSp>
    <xdr:clientData/>
  </xdr:twoCellAnchor>
  <xdr:twoCellAnchor>
    <xdr:from>
      <xdr:col>21</xdr:col>
      <xdr:colOff>295275</xdr:colOff>
      <xdr:row>4</xdr:row>
      <xdr:rowOff>57149</xdr:rowOff>
    </xdr:from>
    <xdr:to>
      <xdr:col>27</xdr:col>
      <xdr:colOff>466725</xdr:colOff>
      <xdr:row>11</xdr:row>
      <xdr:rowOff>142875</xdr:rowOff>
    </xdr:to>
    <xdr:grpSp>
      <xdr:nvGrpSpPr>
        <xdr:cNvPr id="14" name="Group 13">
          <a:extLst>
            <a:ext uri="{FF2B5EF4-FFF2-40B4-BE49-F238E27FC236}">
              <a16:creationId xmlns:a16="http://schemas.microsoft.com/office/drawing/2014/main" id="{3DBCFE45-4518-370F-3741-2FD991D027B3}"/>
            </a:ext>
          </a:extLst>
        </xdr:cNvPr>
        <xdr:cNvGrpSpPr/>
      </xdr:nvGrpSpPr>
      <xdr:grpSpPr>
        <a:xfrm>
          <a:off x="13096875" y="781049"/>
          <a:ext cx="3829050" cy="1352551"/>
          <a:chOff x="13096875" y="781049"/>
          <a:chExt cx="3829050" cy="1352551"/>
        </a:xfrm>
      </xdr:grpSpPr>
      <xdr:grpSp>
        <xdr:nvGrpSpPr>
          <xdr:cNvPr id="2" name="Group 1">
            <a:extLst>
              <a:ext uri="{FF2B5EF4-FFF2-40B4-BE49-F238E27FC236}">
                <a16:creationId xmlns:a16="http://schemas.microsoft.com/office/drawing/2014/main" id="{058986A0-6B1B-4CE4-B3AB-0650C524EE1F}"/>
              </a:ext>
            </a:extLst>
          </xdr:cNvPr>
          <xdr:cNvGrpSpPr/>
        </xdr:nvGrpSpPr>
        <xdr:grpSpPr>
          <a:xfrm>
            <a:off x="13096875" y="781049"/>
            <a:ext cx="3829050" cy="1352551"/>
            <a:chOff x="6873240" y="956145"/>
            <a:chExt cx="2552700" cy="1086016"/>
          </a:xfrm>
        </xdr:grpSpPr>
        <xdr:grpSp>
          <xdr:nvGrpSpPr>
            <xdr:cNvPr id="3" name="Group 2">
              <a:extLst>
                <a:ext uri="{FF2B5EF4-FFF2-40B4-BE49-F238E27FC236}">
                  <a16:creationId xmlns:a16="http://schemas.microsoft.com/office/drawing/2014/main" id="{98B06E3E-D64A-7001-EC9E-8EBE14DED357}"/>
                </a:ext>
              </a:extLst>
            </xdr:cNvPr>
            <xdr:cNvGrpSpPr/>
          </xdr:nvGrpSpPr>
          <xdr:grpSpPr>
            <a:xfrm>
              <a:off x="6873240" y="956145"/>
              <a:ext cx="2552700" cy="1086016"/>
              <a:chOff x="4282440" y="1455420"/>
              <a:chExt cx="2065020" cy="838200"/>
            </a:xfrm>
            <a:solidFill>
              <a:schemeClr val="bg2">
                <a:lumMod val="25000"/>
              </a:schemeClr>
            </a:solidFill>
          </xdr:grpSpPr>
          <xdr:sp macro="" textlink="$A$5">
            <xdr:nvSpPr>
              <xdr:cNvPr id="7" name="Rectangle: Rounded Corners 6">
                <a:extLst>
                  <a:ext uri="{FF2B5EF4-FFF2-40B4-BE49-F238E27FC236}">
                    <a16:creationId xmlns:a16="http://schemas.microsoft.com/office/drawing/2014/main" id="{A79C893C-8775-E50A-088C-95303D103B47}"/>
                  </a:ext>
                </a:extLst>
              </xdr:cNvPr>
              <xdr:cNvSpPr/>
            </xdr:nvSpPr>
            <xdr:spPr>
              <a:xfrm>
                <a:off x="4282440" y="1455420"/>
                <a:ext cx="2065020" cy="8382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5A2F4EB-DCAF-4FFD-921D-02FBFA2FFB7B}" type="TxLink">
                  <a:rPr lang="en-US" sz="2800" b="1" i="0" u="none" strike="noStrike">
                    <a:solidFill>
                      <a:schemeClr val="bg2"/>
                    </a:solidFill>
                    <a:latin typeface="Aptos Narrow"/>
                  </a:rPr>
                  <a:pPr algn="ctr"/>
                  <a:t> </a:t>
                </a:fld>
                <a:endParaRPr lang="en-GB" sz="2800" b="1">
                  <a:solidFill>
                    <a:schemeClr val="bg2"/>
                  </a:solidFill>
                </a:endParaRPr>
              </a:p>
            </xdr:txBody>
          </xdr:sp>
          <xdr:sp macro="" textlink="">
            <xdr:nvSpPr>
              <xdr:cNvPr id="8" name="TextBox 7">
                <a:extLst>
                  <a:ext uri="{FF2B5EF4-FFF2-40B4-BE49-F238E27FC236}">
                    <a16:creationId xmlns:a16="http://schemas.microsoft.com/office/drawing/2014/main" id="{1CD709EA-410C-27DC-4071-021F70F571EC}"/>
                  </a:ext>
                </a:extLst>
              </xdr:cNvPr>
              <xdr:cNvSpPr txBox="1"/>
            </xdr:nvSpPr>
            <xdr:spPr>
              <a:xfrm>
                <a:off x="4544431" y="1514624"/>
                <a:ext cx="1623060" cy="290036"/>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2400" b="1">
                    <a:solidFill>
                      <a:schemeClr val="bg2"/>
                    </a:solidFill>
                  </a:rPr>
                  <a:t>Sum of Students</a:t>
                </a:r>
              </a:p>
            </xdr:txBody>
          </xdr:sp>
        </xdr:grpSp>
        <xdr:pic>
          <xdr:nvPicPr>
            <xdr:cNvPr id="6" name="Picture 5">
              <a:extLst>
                <a:ext uri="{FF2B5EF4-FFF2-40B4-BE49-F238E27FC236}">
                  <a16:creationId xmlns:a16="http://schemas.microsoft.com/office/drawing/2014/main" id="{9F0EC34F-B152-8210-0A0C-5DF0DAE210E2}"/>
                </a:ext>
              </a:extLst>
            </xdr:cNvPr>
            <xdr:cNvPicPr>
              <a:picLocks noChangeAspect="1"/>
            </xdr:cNvPicPr>
          </xdr:nvPicPr>
          <xdr:blipFill>
            <a:blip xmlns:r="http://schemas.openxmlformats.org/officeDocument/2006/relationships" r:embed="rId5"/>
            <a:stretch>
              <a:fillRect/>
            </a:stretch>
          </xdr:blipFill>
          <xdr:spPr>
            <a:xfrm>
              <a:off x="8336281" y="1341121"/>
              <a:ext cx="1066800" cy="580813"/>
            </a:xfrm>
            <a:prstGeom prst="rect">
              <a:avLst/>
            </a:prstGeom>
          </xdr:spPr>
        </xdr:pic>
      </xdr:grpSp>
      <xdr:sp macro="" textlink="">
        <xdr:nvSpPr>
          <xdr:cNvPr id="12" name="TextBox 11">
            <a:extLst>
              <a:ext uri="{FF2B5EF4-FFF2-40B4-BE49-F238E27FC236}">
                <a16:creationId xmlns:a16="http://schemas.microsoft.com/office/drawing/2014/main" id="{829A12DD-3596-FD78-B7DE-3CD4D126C0EB}"/>
              </a:ext>
            </a:extLst>
          </xdr:cNvPr>
          <xdr:cNvSpPr txBox="1"/>
        </xdr:nvSpPr>
        <xdr:spPr>
          <a:xfrm>
            <a:off x="14576425" y="1403350"/>
            <a:ext cx="1016000" cy="530658"/>
          </a:xfrm>
          <a:prstGeom prst="rect">
            <a:avLst/>
          </a:prstGeom>
          <a:solidFill>
            <a:prstClr val="white">
              <a:alpha val="0"/>
            </a:prstClr>
          </a:solidFill>
          <a:ln>
            <a:solidFill>
              <a:prstClr val="black">
                <a:alpha val="0"/>
              </a:prstClr>
            </a:solidFill>
          </a:ln>
        </xdr:spPr>
        <xdr:txBody>
          <a:bodyPr vertOverflow="overflow" vert="horz" wrap="square" rtlCol="0" anchor="t">
            <a:spAutoFit/>
          </a:bodyPr>
          <a:lstStyle/>
          <a:p>
            <a:pPr algn="l"/>
            <a:r>
              <a:rPr kumimoji="0" lang="en-GB" sz="2800" b="1" i="0" u="none" strike="noStrike" kern="0" cap="none" spc="0" normalizeH="0" baseline="0" noProof="0">
                <a:ln>
                  <a:noFill/>
                </a:ln>
                <a:solidFill>
                  <a:srgbClr val="FFFFFF"/>
                </a:solidFill>
                <a:effectLst/>
                <a:uLnTx/>
                <a:uFillTx/>
                <a:latin typeface="Aptos Narrow" panose="02110004020202020204"/>
              </a:rPr>
              <a:t>30</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6</xdr:row>
      <xdr:rowOff>45720</xdr:rowOff>
    </xdr:from>
    <xdr:to>
      <xdr:col>10</xdr:col>
      <xdr:colOff>388620</xdr:colOff>
      <xdr:row>21</xdr:row>
      <xdr:rowOff>45720</xdr:rowOff>
    </xdr:to>
    <xdr:graphicFrame macro="">
      <xdr:nvGraphicFramePr>
        <xdr:cNvPr id="6" name="Chart 5">
          <a:extLst>
            <a:ext uri="{FF2B5EF4-FFF2-40B4-BE49-F238E27FC236}">
              <a16:creationId xmlns:a16="http://schemas.microsoft.com/office/drawing/2014/main" id="{4F62862D-F3C2-4536-6413-8148FDFF2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510540</xdr:colOff>
      <xdr:row>6</xdr:row>
      <xdr:rowOff>45720</xdr:rowOff>
    </xdr:from>
    <xdr:to>
      <xdr:col>11</xdr:col>
      <xdr:colOff>205740</xdr:colOff>
      <xdr:row>21</xdr:row>
      <xdr:rowOff>45720</xdr:rowOff>
    </xdr:to>
    <xdr:graphicFrame macro="">
      <xdr:nvGraphicFramePr>
        <xdr:cNvPr id="8" name="Chart 7">
          <a:extLst>
            <a:ext uri="{FF2B5EF4-FFF2-40B4-BE49-F238E27FC236}">
              <a16:creationId xmlns:a16="http://schemas.microsoft.com/office/drawing/2014/main" id="{45A1C2B9-0961-66F5-9B15-20BB62D1F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259080</xdr:colOff>
      <xdr:row>7</xdr:row>
      <xdr:rowOff>15240</xdr:rowOff>
    </xdr:from>
    <xdr:to>
      <xdr:col>11</xdr:col>
      <xdr:colOff>167640</xdr:colOff>
      <xdr:row>12</xdr:row>
      <xdr:rowOff>167640</xdr:rowOff>
    </xdr:to>
    <xdr:grpSp>
      <xdr:nvGrpSpPr>
        <xdr:cNvPr id="4" name="Group 3">
          <a:extLst>
            <a:ext uri="{FF2B5EF4-FFF2-40B4-BE49-F238E27FC236}">
              <a16:creationId xmlns:a16="http://schemas.microsoft.com/office/drawing/2014/main" id="{3E897169-9E6B-5600-3D5D-37503326C3E4}"/>
            </a:ext>
          </a:extLst>
        </xdr:cNvPr>
        <xdr:cNvGrpSpPr/>
      </xdr:nvGrpSpPr>
      <xdr:grpSpPr>
        <a:xfrm>
          <a:off x="4678680" y="1295400"/>
          <a:ext cx="2956560" cy="1066800"/>
          <a:chOff x="2827020" y="937260"/>
          <a:chExt cx="2956560" cy="1066800"/>
        </a:xfrm>
      </xdr:grpSpPr>
      <xdr:sp macro="" textlink="$A$5">
        <xdr:nvSpPr>
          <xdr:cNvPr id="2" name="Rectangle: Rounded Corners 1">
            <a:extLst>
              <a:ext uri="{FF2B5EF4-FFF2-40B4-BE49-F238E27FC236}">
                <a16:creationId xmlns:a16="http://schemas.microsoft.com/office/drawing/2014/main" id="{FE33C937-A42B-57D8-EE7A-3CE57E1A0C31}"/>
              </a:ext>
            </a:extLst>
          </xdr:cNvPr>
          <xdr:cNvSpPr/>
        </xdr:nvSpPr>
        <xdr:spPr>
          <a:xfrm>
            <a:off x="2827020" y="937260"/>
            <a:ext cx="2857500" cy="106680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322350B-1633-49C9-98C0-F07D84C654E5}" type="TxLink">
              <a:rPr lang="en-US" sz="2800" b="1" i="0" u="none" strike="noStrike">
                <a:solidFill>
                  <a:schemeClr val="tx2">
                    <a:lumMod val="10000"/>
                    <a:lumOff val="90000"/>
                  </a:schemeClr>
                </a:solidFill>
                <a:latin typeface="Aptos Narrow"/>
              </a:rPr>
              <a:pPr algn="ctr"/>
              <a:t>5</a:t>
            </a:fld>
            <a:endParaRPr lang="en-GB" sz="2800" b="1">
              <a:solidFill>
                <a:schemeClr val="tx2">
                  <a:lumMod val="10000"/>
                  <a:lumOff val="90000"/>
                </a:schemeClr>
              </a:solidFill>
            </a:endParaRPr>
          </a:p>
        </xdr:txBody>
      </xdr:sp>
      <xdr:sp macro="" textlink="">
        <xdr:nvSpPr>
          <xdr:cNvPr id="3" name="TextBox 2">
            <a:extLst>
              <a:ext uri="{FF2B5EF4-FFF2-40B4-BE49-F238E27FC236}">
                <a16:creationId xmlns:a16="http://schemas.microsoft.com/office/drawing/2014/main" id="{FB882D69-D489-B6F2-D24C-3D15E97526C8}"/>
              </a:ext>
            </a:extLst>
          </xdr:cNvPr>
          <xdr:cNvSpPr txBox="1"/>
        </xdr:nvSpPr>
        <xdr:spPr>
          <a:xfrm>
            <a:off x="3070860" y="1028700"/>
            <a:ext cx="271272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solidFill>
                  <a:schemeClr val="bg2"/>
                </a:solidFill>
              </a:rPr>
              <a:t>Average</a:t>
            </a:r>
            <a:r>
              <a:rPr lang="en-GB" sz="2000" b="1" baseline="0">
                <a:solidFill>
                  <a:schemeClr val="bg2"/>
                </a:solidFill>
              </a:rPr>
              <a:t> Study Hours</a:t>
            </a:r>
            <a:endParaRPr lang="en-GB" sz="2000" b="1">
              <a:solidFill>
                <a:schemeClr val="bg2"/>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213360</xdr:colOff>
      <xdr:row>10</xdr:row>
      <xdr:rowOff>7620</xdr:rowOff>
    </xdr:from>
    <xdr:to>
      <xdr:col>7</xdr:col>
      <xdr:colOff>45720</xdr:colOff>
      <xdr:row>14</xdr:row>
      <xdr:rowOff>121920</xdr:rowOff>
    </xdr:to>
    <xdr:sp macro="" textlink="$A$5">
      <xdr:nvSpPr>
        <xdr:cNvPr id="9" name="Rectangle: Rounded Corners 8">
          <a:extLst>
            <a:ext uri="{FF2B5EF4-FFF2-40B4-BE49-F238E27FC236}">
              <a16:creationId xmlns:a16="http://schemas.microsoft.com/office/drawing/2014/main" id="{E728DA63-A5E3-F462-4E24-9B14E4AF9639}"/>
            </a:ext>
          </a:extLst>
        </xdr:cNvPr>
        <xdr:cNvSpPr/>
      </xdr:nvSpPr>
      <xdr:spPr>
        <a:xfrm>
          <a:off x="2590800" y="1836420"/>
          <a:ext cx="2270760" cy="990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31DBA5-6598-4641-A94B-4601B64244BF}" type="TxLink">
            <a:rPr lang="en-US" sz="2800" b="0" i="0" u="none" strike="noStrike">
              <a:solidFill>
                <a:srgbClr val="000000"/>
              </a:solidFill>
              <a:latin typeface="Aptos Narrow"/>
            </a:rPr>
            <a:pPr algn="ctr"/>
            <a:t>30</a:t>
          </a:fld>
          <a:endParaRPr lang="en-GB" sz="2800"/>
        </a:p>
      </xdr:txBody>
    </xdr:sp>
    <xdr:clientData/>
  </xdr:twoCellAnchor>
  <xdr:oneCellAnchor>
    <xdr:from>
      <xdr:col>4</xdr:col>
      <xdr:colOff>22860</xdr:colOff>
      <xdr:row>10</xdr:row>
      <xdr:rowOff>137160</xdr:rowOff>
    </xdr:from>
    <xdr:ext cx="1409700" cy="264560"/>
    <xdr:sp macro="" textlink="">
      <xdr:nvSpPr>
        <xdr:cNvPr id="10" name="TextBox 9">
          <a:extLst>
            <a:ext uri="{FF2B5EF4-FFF2-40B4-BE49-F238E27FC236}">
              <a16:creationId xmlns:a16="http://schemas.microsoft.com/office/drawing/2014/main" id="{2A81066C-F054-B0AB-E789-CBFC4045FE4B}"/>
            </a:ext>
          </a:extLst>
        </xdr:cNvPr>
        <xdr:cNvSpPr txBox="1"/>
      </xdr:nvSpPr>
      <xdr:spPr>
        <a:xfrm>
          <a:off x="3009900" y="1965960"/>
          <a:ext cx="1409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Sum</a:t>
          </a:r>
          <a:r>
            <a:rPr lang="en-GB" sz="1100" baseline="0"/>
            <a:t> of Students</a:t>
          </a:r>
          <a:endParaRPr lang="en-GB" sz="1100"/>
        </a:p>
      </xdr:txBody>
    </xdr:sp>
    <xdr:clientData/>
  </xdr:oneCellAnchor>
  <xdr:twoCellAnchor>
    <xdr:from>
      <xdr:col>10</xdr:col>
      <xdr:colOff>228600</xdr:colOff>
      <xdr:row>5</xdr:row>
      <xdr:rowOff>41745</xdr:rowOff>
    </xdr:from>
    <xdr:to>
      <xdr:col>14</xdr:col>
      <xdr:colOff>342900</xdr:colOff>
      <xdr:row>10</xdr:row>
      <xdr:rowOff>213361</xdr:rowOff>
    </xdr:to>
    <xdr:grpSp>
      <xdr:nvGrpSpPr>
        <xdr:cNvPr id="3" name="Group 2">
          <a:extLst>
            <a:ext uri="{FF2B5EF4-FFF2-40B4-BE49-F238E27FC236}">
              <a16:creationId xmlns:a16="http://schemas.microsoft.com/office/drawing/2014/main" id="{A5DBC821-1EA4-8A14-4C46-F96105034997}"/>
            </a:ext>
          </a:extLst>
        </xdr:cNvPr>
        <xdr:cNvGrpSpPr/>
      </xdr:nvGrpSpPr>
      <xdr:grpSpPr>
        <a:xfrm>
          <a:off x="6873240" y="956145"/>
          <a:ext cx="2552700" cy="1086016"/>
          <a:chOff x="6873240" y="956145"/>
          <a:chExt cx="2552700" cy="1086016"/>
        </a:xfrm>
      </xdr:grpSpPr>
      <xdr:grpSp>
        <xdr:nvGrpSpPr>
          <xdr:cNvPr id="8" name="Group 7">
            <a:extLst>
              <a:ext uri="{FF2B5EF4-FFF2-40B4-BE49-F238E27FC236}">
                <a16:creationId xmlns:a16="http://schemas.microsoft.com/office/drawing/2014/main" id="{064608EA-FEE9-265D-003F-2172497B2FE0}"/>
              </a:ext>
            </a:extLst>
          </xdr:cNvPr>
          <xdr:cNvGrpSpPr/>
        </xdr:nvGrpSpPr>
        <xdr:grpSpPr>
          <a:xfrm>
            <a:off x="6873240" y="956145"/>
            <a:ext cx="2552700" cy="1086016"/>
            <a:chOff x="4282440" y="1455420"/>
            <a:chExt cx="2065020" cy="838200"/>
          </a:xfrm>
          <a:solidFill>
            <a:schemeClr val="bg2">
              <a:lumMod val="25000"/>
            </a:schemeClr>
          </a:solidFill>
        </xdr:grpSpPr>
        <xdr:sp macro="" textlink="$A$5">
          <xdr:nvSpPr>
            <xdr:cNvPr id="6" name="Rectangle: Rounded Corners 5">
              <a:extLst>
                <a:ext uri="{FF2B5EF4-FFF2-40B4-BE49-F238E27FC236}">
                  <a16:creationId xmlns:a16="http://schemas.microsoft.com/office/drawing/2014/main" id="{56236074-378E-E02D-5C4F-4F701D694431}"/>
                </a:ext>
              </a:extLst>
            </xdr:cNvPr>
            <xdr:cNvSpPr/>
          </xdr:nvSpPr>
          <xdr:spPr>
            <a:xfrm>
              <a:off x="4282440" y="1455420"/>
              <a:ext cx="2065020" cy="8382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5A2F4EB-DCAF-4FFD-921D-02FBFA2FFB7B}" type="TxLink">
                <a:rPr lang="en-US" sz="2800" b="1" i="0" u="none" strike="noStrike">
                  <a:solidFill>
                    <a:schemeClr val="bg2"/>
                  </a:solidFill>
                  <a:latin typeface="Aptos Narrow"/>
                </a:rPr>
                <a:pPr algn="ctr"/>
                <a:t>30</a:t>
              </a:fld>
              <a:endParaRPr lang="en-GB" sz="2800" b="1">
                <a:solidFill>
                  <a:schemeClr val="bg2"/>
                </a:solidFill>
              </a:endParaRPr>
            </a:p>
          </xdr:txBody>
        </xdr:sp>
        <xdr:sp macro="" textlink="">
          <xdr:nvSpPr>
            <xdr:cNvPr id="7" name="TextBox 6">
              <a:extLst>
                <a:ext uri="{FF2B5EF4-FFF2-40B4-BE49-F238E27FC236}">
                  <a16:creationId xmlns:a16="http://schemas.microsoft.com/office/drawing/2014/main" id="{41F4C854-37D0-2B43-74D5-6A83AF3E1734}"/>
                </a:ext>
              </a:extLst>
            </xdr:cNvPr>
            <xdr:cNvSpPr txBox="1"/>
          </xdr:nvSpPr>
          <xdr:spPr>
            <a:xfrm>
              <a:off x="4544431" y="1514624"/>
              <a:ext cx="1623060" cy="312917"/>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2000" b="1">
                  <a:solidFill>
                    <a:schemeClr val="bg2"/>
                  </a:solidFill>
                </a:rPr>
                <a:t>Sum of Students</a:t>
              </a:r>
            </a:p>
          </xdr:txBody>
        </xdr:sp>
      </xdr:grpSp>
      <xdr:pic>
        <xdr:nvPicPr>
          <xdr:cNvPr id="2" name="Picture 1">
            <a:extLst>
              <a:ext uri="{FF2B5EF4-FFF2-40B4-BE49-F238E27FC236}">
                <a16:creationId xmlns:a16="http://schemas.microsoft.com/office/drawing/2014/main" id="{C08974FF-FFFC-6AD1-8AE9-170F5C29932D}"/>
              </a:ext>
            </a:extLst>
          </xdr:cNvPr>
          <xdr:cNvPicPr>
            <a:picLocks noChangeAspect="1"/>
          </xdr:cNvPicPr>
        </xdr:nvPicPr>
        <xdr:blipFill>
          <a:blip xmlns:r="http://schemas.openxmlformats.org/officeDocument/2006/relationships" r:embed="rId1"/>
          <a:stretch>
            <a:fillRect/>
          </a:stretch>
        </xdr:blipFill>
        <xdr:spPr>
          <a:xfrm>
            <a:off x="8336281" y="1341121"/>
            <a:ext cx="1066800" cy="580813"/>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13</xdr:row>
      <xdr:rowOff>0</xdr:rowOff>
    </xdr:from>
    <xdr:to>
      <xdr:col>11</xdr:col>
      <xdr:colOff>236220</xdr:colOff>
      <xdr:row>20</xdr:row>
      <xdr:rowOff>129540</xdr:rowOff>
    </xdr:to>
    <xdr:grpSp>
      <xdr:nvGrpSpPr>
        <xdr:cNvPr id="2" name="Group 1">
          <a:extLst>
            <a:ext uri="{FF2B5EF4-FFF2-40B4-BE49-F238E27FC236}">
              <a16:creationId xmlns:a16="http://schemas.microsoft.com/office/drawing/2014/main" id="{8EF3F7D8-3D67-4BB0-82F9-5332893B15CD}"/>
            </a:ext>
          </a:extLst>
        </xdr:cNvPr>
        <xdr:cNvGrpSpPr/>
      </xdr:nvGrpSpPr>
      <xdr:grpSpPr>
        <a:xfrm>
          <a:off x="4465320" y="2377440"/>
          <a:ext cx="3893820" cy="1409700"/>
          <a:chOff x="4876800" y="1173480"/>
          <a:chExt cx="2628900" cy="990600"/>
        </a:xfrm>
      </xdr:grpSpPr>
      <xdr:sp macro="" textlink="">
        <xdr:nvSpPr>
          <xdr:cNvPr id="3" name="Rectangle: Rounded Corners 2">
            <a:extLst>
              <a:ext uri="{FF2B5EF4-FFF2-40B4-BE49-F238E27FC236}">
                <a16:creationId xmlns:a16="http://schemas.microsoft.com/office/drawing/2014/main" id="{915AAC5B-D644-3ED3-9AE1-74601187F5DD}"/>
              </a:ext>
            </a:extLst>
          </xdr:cNvPr>
          <xdr:cNvSpPr/>
        </xdr:nvSpPr>
        <xdr:spPr>
          <a:xfrm>
            <a:off x="4876800" y="1173480"/>
            <a:ext cx="2628900" cy="990600"/>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1" i="0" u="none" strike="noStrike">
                <a:solidFill>
                  <a:schemeClr val="bg2"/>
                </a:solidFill>
                <a:latin typeface="Aptos Narrow"/>
              </a:rPr>
              <a:t>87%</a:t>
            </a:r>
          </a:p>
        </xdr:txBody>
      </xdr:sp>
      <xdr:sp macro="" textlink="">
        <xdr:nvSpPr>
          <xdr:cNvPr id="4" name="TextBox 3">
            <a:extLst>
              <a:ext uri="{FF2B5EF4-FFF2-40B4-BE49-F238E27FC236}">
                <a16:creationId xmlns:a16="http://schemas.microsoft.com/office/drawing/2014/main" id="{30FB0BB4-97EB-C2F4-D4E8-185E384E268C}"/>
              </a:ext>
            </a:extLst>
          </xdr:cNvPr>
          <xdr:cNvSpPr txBox="1"/>
        </xdr:nvSpPr>
        <xdr:spPr>
          <a:xfrm>
            <a:off x="4953368" y="1328111"/>
            <a:ext cx="2389792" cy="340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2800" b="1">
                <a:solidFill>
                  <a:schemeClr val="bg2"/>
                </a:solidFill>
              </a:rPr>
              <a:t>Average Attendance</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3.758173842594" createdVersion="8" refreshedVersion="8" minRefreshableVersion="3" recordCount="30" xr:uid="{5C06AC52-CFB4-47C1-9D6F-B5911B38F69F}">
  <cacheSource type="worksheet">
    <worksheetSource name="Table1"/>
  </cacheSource>
  <cacheFields count="8">
    <cacheField name="Student ID" numFmtId="0">
      <sharedItems count="30">
        <s v="STU030"/>
        <s v="STU007"/>
        <s v="STU019"/>
        <s v="STU004"/>
        <s v="STU011"/>
        <s v="STU029"/>
        <s v="STU001"/>
        <s v="STU013"/>
        <s v="STU017"/>
        <s v="STU023"/>
        <s v="STU025"/>
        <s v="STU005"/>
        <s v="STU008"/>
        <s v="STU015"/>
        <s v="STU022"/>
        <s v="STU027"/>
        <s v="STU002"/>
        <s v="STU010"/>
        <s v="STU014"/>
        <s v="STU021"/>
        <s v="STU026"/>
        <s v="STU006"/>
        <s v="STU012"/>
        <s v="STU020"/>
        <s v="STU028"/>
        <s v="STU003"/>
        <s v="STU016"/>
        <s v="STU024"/>
        <s v="STU009"/>
        <s v="STU018"/>
      </sharedItems>
    </cacheField>
    <cacheField name="Student Name" numFmtId="0">
      <sharedItems count="29">
        <s v="Precious James"/>
        <s v="Ibrahim Musa"/>
        <s v="Victor Chukwu"/>
        <s v="Fatima Bello"/>
        <s v="Michael Ojo"/>
        <s v="Hassan Ali"/>
        <s v="Chinedu Okafor"/>
        <s v="Daniel James"/>
        <s v="Kelvin Ekanem"/>
        <s v="Abdul Rahman"/>
        <s v="David Johnson"/>
        <s v="Grace Adeyemi"/>
        <s v="Peter Udo"/>
        <s v="Jennifer Okafor"/>
        <s v="Anthony Obi"/>
        <s v="Amaka Eze"/>
        <s v="Esther Adebayo"/>
        <s v="Aisha Mohammed"/>
        <s v="Emeka Nwankwo"/>
        <s v="Favour Daniel"/>
        <s v="Blessing Okoro"/>
        <s v="Ngozi Obi"/>
        <s v="Sarah Williams"/>
        <s v="Vivian George"/>
        <s v="Tunde Bakare"/>
        <s v="Maryann Joseph"/>
        <s v="Ruth Ibe"/>
        <s v="Samuel Nwosu"/>
        <s v="Adaeze Nnamdi"/>
      </sharedItems>
    </cacheField>
    <cacheField name="Age" numFmtId="0">
      <sharedItems containsString="0" containsBlank="1" containsNumber="1" containsInteger="1" minValue="18" maxValue="25"/>
    </cacheField>
    <cacheField name="Gender" numFmtId="0">
      <sharedItems count="2">
        <s v="Female"/>
        <s v="Male"/>
      </sharedItems>
    </cacheField>
    <cacheField name="Department" numFmtId="0">
      <sharedItems count="3">
        <s v="Computer Science"/>
        <s v="History"/>
        <s v="Economics"/>
      </sharedItems>
    </cacheField>
    <cacheField name="Study Hours" numFmtId="0">
      <sharedItems containsSemiMixedTypes="0" containsString="0" containsNumber="1" containsInteger="1" minValue="-2" maxValue="10" count="10">
        <n v="-2"/>
        <n v="2"/>
        <n v="3"/>
        <n v="4"/>
        <n v="5"/>
        <n v="6"/>
        <n v="7"/>
        <n v="8"/>
        <n v="9"/>
        <n v="10"/>
      </sharedItems>
    </cacheField>
    <cacheField name="Attendance Percentage" numFmtId="9">
      <sharedItems containsSemiMixedTypes="0" containsString="0" containsNumber="1" minValue="0.57999999999999996" maxValue="1.05"/>
    </cacheField>
    <cacheField name="Exam Score" numFmtId="0">
      <sharedItems containsString="0" containsBlank="1" containsNumber="1" containsInteger="1" minValue="45" maxValue="98" count="28">
        <n v="79"/>
        <n v="52"/>
        <n v="45"/>
        <n v="64"/>
        <n v="61"/>
        <m/>
        <n v="72"/>
        <n v="70"/>
        <n v="73"/>
        <n v="68"/>
        <n v="76"/>
        <n v="74"/>
        <n v="75"/>
        <n v="71"/>
        <n v="88"/>
        <n v="81"/>
        <n v="86"/>
        <n v="80"/>
        <n v="77"/>
        <n v="85"/>
        <n v="87"/>
        <n v="84"/>
        <n v="83"/>
        <n v="91"/>
        <n v="92"/>
        <n v="90"/>
        <n v="95"/>
        <n v="98"/>
      </sharedItems>
    </cacheField>
  </cacheFields>
  <extLst>
    <ext xmlns:x14="http://schemas.microsoft.com/office/spreadsheetml/2009/9/main" uri="{725AE2AE-9491-48be-B2B4-4EB974FC3084}">
      <x14:pivotCacheDefinition pivotCacheId="1889642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19"/>
    <x v="0"/>
    <x v="0"/>
    <x v="0"/>
    <n v="0.88"/>
    <x v="0"/>
  </r>
  <r>
    <x v="1"/>
    <x v="1"/>
    <n v="23"/>
    <x v="1"/>
    <x v="1"/>
    <x v="1"/>
    <n v="0.65"/>
    <x v="1"/>
  </r>
  <r>
    <x v="2"/>
    <x v="2"/>
    <n v="25"/>
    <x v="1"/>
    <x v="1"/>
    <x v="1"/>
    <n v="0.57999999999999996"/>
    <x v="2"/>
  </r>
  <r>
    <x v="3"/>
    <x v="3"/>
    <n v="18"/>
    <x v="0"/>
    <x v="1"/>
    <x v="2"/>
    <n v="0.78"/>
    <x v="3"/>
  </r>
  <r>
    <x v="4"/>
    <x v="4"/>
    <n v="24"/>
    <x v="1"/>
    <x v="2"/>
    <x v="2"/>
    <n v="0.72"/>
    <x v="4"/>
  </r>
  <r>
    <x v="5"/>
    <x v="5"/>
    <n v="23"/>
    <x v="1"/>
    <x v="2"/>
    <x v="2"/>
    <n v="0.74"/>
    <x v="5"/>
  </r>
  <r>
    <x v="6"/>
    <x v="6"/>
    <n v="19"/>
    <x v="1"/>
    <x v="1"/>
    <x v="3"/>
    <n v="0.85"/>
    <x v="6"/>
  </r>
  <r>
    <x v="7"/>
    <x v="7"/>
    <n v="22"/>
    <x v="1"/>
    <x v="1"/>
    <x v="3"/>
    <n v="0.81"/>
    <x v="7"/>
  </r>
  <r>
    <x v="8"/>
    <x v="8"/>
    <n v="19"/>
    <x v="1"/>
    <x v="2"/>
    <x v="3"/>
    <n v="0.86"/>
    <x v="8"/>
  </r>
  <r>
    <x v="9"/>
    <x v="9"/>
    <n v="22"/>
    <x v="1"/>
    <x v="2"/>
    <x v="3"/>
    <n v="0.79"/>
    <x v="9"/>
  </r>
  <r>
    <x v="10"/>
    <x v="6"/>
    <n v="19"/>
    <x v="1"/>
    <x v="1"/>
    <x v="3"/>
    <n v="0.85"/>
    <x v="6"/>
  </r>
  <r>
    <x v="11"/>
    <x v="10"/>
    <n v="22"/>
    <x v="1"/>
    <x v="2"/>
    <x v="4"/>
    <n v="0.88"/>
    <x v="10"/>
  </r>
  <r>
    <x v="12"/>
    <x v="11"/>
    <n v="19"/>
    <x v="0"/>
    <x v="2"/>
    <x v="4"/>
    <n v="0.89"/>
    <x v="0"/>
  </r>
  <r>
    <x v="13"/>
    <x v="12"/>
    <n v="21"/>
    <x v="1"/>
    <x v="0"/>
    <x v="4"/>
    <n v="0.84"/>
    <x v="11"/>
  </r>
  <r>
    <x v="14"/>
    <x v="13"/>
    <n v="19"/>
    <x v="0"/>
    <x v="1"/>
    <x v="4"/>
    <n v="0.83"/>
    <x v="12"/>
  </r>
  <r>
    <x v="15"/>
    <x v="14"/>
    <n v="21"/>
    <x v="1"/>
    <x v="0"/>
    <x v="4"/>
    <n v="0.82"/>
    <x v="13"/>
  </r>
  <r>
    <x v="16"/>
    <x v="15"/>
    <n v="20"/>
    <x v="0"/>
    <x v="2"/>
    <x v="5"/>
    <n v="0.92"/>
    <x v="14"/>
  </r>
  <r>
    <x v="17"/>
    <x v="16"/>
    <n v="20"/>
    <x v="0"/>
    <x v="1"/>
    <x v="5"/>
    <n v="0.9"/>
    <x v="15"/>
  </r>
  <r>
    <x v="18"/>
    <x v="17"/>
    <n v="18"/>
    <x v="0"/>
    <x v="2"/>
    <x v="5"/>
    <n v="0.95"/>
    <x v="16"/>
  </r>
  <r>
    <x v="19"/>
    <x v="18"/>
    <n v="21"/>
    <x v="1"/>
    <x v="0"/>
    <x v="5"/>
    <n v="0.87"/>
    <x v="17"/>
  </r>
  <r>
    <x v="20"/>
    <x v="19"/>
    <m/>
    <x v="0"/>
    <x v="2"/>
    <x v="5"/>
    <n v="0.89"/>
    <x v="18"/>
  </r>
  <r>
    <x v="21"/>
    <x v="20"/>
    <n v="20"/>
    <x v="0"/>
    <x v="0"/>
    <x v="6"/>
    <n v="0.94"/>
    <x v="19"/>
  </r>
  <r>
    <x v="22"/>
    <x v="21"/>
    <n v="19"/>
    <x v="0"/>
    <x v="0"/>
    <x v="6"/>
    <n v="0.93"/>
    <x v="20"/>
  </r>
  <r>
    <x v="23"/>
    <x v="22"/>
    <n v="20"/>
    <x v="0"/>
    <x v="2"/>
    <x v="6"/>
    <n v="0.91"/>
    <x v="21"/>
  </r>
  <r>
    <x v="24"/>
    <x v="23"/>
    <n v="20"/>
    <x v="0"/>
    <x v="1"/>
    <x v="6"/>
    <n v="1.05"/>
    <x v="22"/>
  </r>
  <r>
    <x v="25"/>
    <x v="24"/>
    <n v="21"/>
    <x v="1"/>
    <x v="0"/>
    <x v="7"/>
    <n v="0.96"/>
    <x v="23"/>
  </r>
  <r>
    <x v="26"/>
    <x v="25"/>
    <n v="20"/>
    <x v="0"/>
    <x v="1"/>
    <x v="7"/>
    <n v="0.97"/>
    <x v="24"/>
  </r>
  <r>
    <x v="27"/>
    <x v="26"/>
    <n v="20"/>
    <x v="0"/>
    <x v="0"/>
    <x v="7"/>
    <n v="0.96"/>
    <x v="25"/>
  </r>
  <r>
    <x v="28"/>
    <x v="27"/>
    <n v="21"/>
    <x v="1"/>
    <x v="0"/>
    <x v="8"/>
    <n v="0.98"/>
    <x v="26"/>
  </r>
  <r>
    <x v="29"/>
    <x v="28"/>
    <n v="22"/>
    <x v="0"/>
    <x v="0"/>
    <x v="9"/>
    <n v="0.99"/>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D4A973-C4D7-4251-B738-0679B8C1B1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19" firstHeaderRow="0" firstDataRow="1" firstDataCol="1"/>
  <pivotFields count="8">
    <pivotField dataField="1" showAll="0"/>
    <pivotField showAll="0"/>
    <pivotField showAll="0"/>
    <pivotField showAll="0"/>
    <pivotField axis="axisRow" showAll="0">
      <items count="4">
        <item x="0"/>
        <item x="2"/>
        <item x="1"/>
        <item t="default"/>
      </items>
    </pivotField>
    <pivotField showAll="0"/>
    <pivotField numFmtId="9" showAll="0"/>
    <pivotField dataField="1" showAll="0"/>
  </pivotFields>
  <rowFields count="1">
    <field x="4"/>
  </rowFields>
  <rowItems count="4">
    <i>
      <x/>
    </i>
    <i>
      <x v="1"/>
    </i>
    <i>
      <x v="2"/>
    </i>
    <i t="grand">
      <x/>
    </i>
  </rowItems>
  <colFields count="1">
    <field x="-2"/>
  </colFields>
  <colItems count="2">
    <i>
      <x/>
    </i>
    <i i="1">
      <x v="1"/>
    </i>
  </colItems>
  <dataFields count="2">
    <dataField name="Average of Exam Score" fld="7" subtotal="average" baseField="4" baseItem="0" numFmtId="1"/>
    <dataField name="Count of Student ID" fld="0" subtotal="count"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FF958-664F-496C-A1D4-37C6F7A38BD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C32" firstHeaderRow="0" firstDataRow="1" firstDataCol="1"/>
  <pivotFields count="8">
    <pivotField dataField="1" showAll="0"/>
    <pivotField showAll="0"/>
    <pivotField showAll="0"/>
    <pivotField showAll="0"/>
    <pivotField showAll="0"/>
    <pivotField axis="axisRow" showAll="0">
      <items count="11">
        <item x="0"/>
        <item x="1"/>
        <item x="2"/>
        <item x="3"/>
        <item x="4"/>
        <item x="5"/>
        <item x="6"/>
        <item x="7"/>
        <item x="8"/>
        <item x="9"/>
        <item t="default"/>
      </items>
    </pivotField>
    <pivotField numFmtId="9" showAll="0"/>
    <pivotField dataField="1" showAll="0"/>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Average of Exam Score" fld="7" subtotal="average" baseField="5" baseItem="0"/>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8BA84B-535C-4F56-B9E8-C5EF267641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18" firstHeaderRow="1" firstDataRow="1" firstDataCol="1"/>
  <pivotFields count="8">
    <pivotField dataField="1" showAll="0"/>
    <pivotField showAll="0"/>
    <pivotField showAll="0"/>
    <pivotField axis="axisRow" showAll="0">
      <items count="3">
        <item x="0"/>
        <item x="1"/>
        <item t="default"/>
      </items>
    </pivotField>
    <pivotField showAll="0"/>
    <pivotField showAll="0"/>
    <pivotField numFmtId="9" showAll="0"/>
    <pivotField showAll="0"/>
  </pivotFields>
  <rowFields count="1">
    <field x="3"/>
  </rowFields>
  <rowItems count="3">
    <i>
      <x/>
    </i>
    <i>
      <x v="1"/>
    </i>
    <i t="grand">
      <x/>
    </i>
  </rowItems>
  <colItems count="1">
    <i/>
  </colItem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437B31-28E9-45DD-873D-44F1D60681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2" firstHeaderRow="1" firstDataRow="1" firstDataCol="1"/>
  <pivotFields count="8">
    <pivotField showAll="0"/>
    <pivotField showAll="0"/>
    <pivotField showAll="0"/>
    <pivotField axis="axisRow" showAll="0">
      <items count="3">
        <item x="0"/>
        <item x="1"/>
        <item t="default"/>
      </items>
    </pivotField>
    <pivotField showAll="0"/>
    <pivotField showAll="0"/>
    <pivotField numFmtId="9" showAll="0"/>
    <pivotField dataField="1" showAll="0"/>
  </pivotFields>
  <rowFields count="1">
    <field x="3"/>
  </rowFields>
  <rowItems count="3">
    <i>
      <x/>
    </i>
    <i>
      <x v="1"/>
    </i>
    <i t="grand">
      <x/>
    </i>
  </rowItems>
  <colItems count="1">
    <i/>
  </colItems>
  <dataFields count="1">
    <dataField name="Average of Exam Score" fld="7" subtotal="average" baseField="3" baseItem="0" numFmtId="1"/>
  </dataFields>
  <formats count="1">
    <format dxfId="13">
      <pivotArea collapsedLevelsAreSubtotals="1" fieldPosition="0">
        <references count="1">
          <reference field="3" count="1">
            <x v="0"/>
          </reference>
        </references>
      </pivotArea>
    </format>
  </formats>
  <conditionalFormats count="3">
    <conditionalFormat priority="5">
      <pivotAreas count="1">
        <pivotArea type="data" grandRow="1" outline="0" collapsedLevelsAreSubtotals="1" fieldPosition="0">
          <references count="1">
            <reference field="4294967294" count="1" selected="0">
              <x v="0"/>
            </reference>
          </references>
        </pivotArea>
      </pivotAreas>
    </conditionalFormat>
    <conditionalFormat priority="4">
      <pivotAreas count="1">
        <pivotArea type="data" collapsedLevelsAreSubtotals="1" fieldPosition="0">
          <references count="2">
            <reference field="4294967294" count="1" selected="0">
              <x v="0"/>
            </reference>
            <reference field="3" count="1">
              <x v="1"/>
            </reference>
          </references>
        </pivotArea>
      </pivotAreas>
    </conditionalFormat>
    <conditionalFormat priority="1">
      <pivotAreas count="1">
        <pivotArea type="data" collapsedLevelsAreSubtotals="1" fieldPosition="0">
          <references count="2">
            <reference field="4294967294" count="1" selected="0">
              <x v="0"/>
            </reference>
            <reference field="3"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84895-ECB3-43F6-98B9-0127EF0E6F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8">
    <pivotField showAll="0"/>
    <pivotField showAll="0"/>
    <pivotField showAll="0"/>
    <pivotField showAll="0"/>
    <pivotField axis="axisRow" showAll="0">
      <items count="4">
        <item x="0"/>
        <item x="2"/>
        <item x="1"/>
        <item t="default"/>
      </items>
    </pivotField>
    <pivotField showAll="0"/>
    <pivotField numFmtId="9" showAll="0"/>
    <pivotField dataField="1" showAll="0"/>
  </pivotFields>
  <rowFields count="1">
    <field x="4"/>
  </rowFields>
  <rowItems count="4">
    <i>
      <x/>
    </i>
    <i>
      <x v="1"/>
    </i>
    <i>
      <x v="2"/>
    </i>
    <i t="grand">
      <x/>
    </i>
  </rowItems>
  <colItems count="1">
    <i/>
  </colItems>
  <dataFields count="1">
    <dataField name="Average of Exam Score" fld="7" subtotal="average" baseField="4" baseItem="0" numFmtId="1"/>
  </dataFields>
  <formats count="1">
    <format dxfId="14">
      <pivotArea outline="0" collapsedLevelsAreSubtotals="1" fieldPosition="0"/>
    </format>
  </formats>
  <conditionalFormats count="1">
    <conditionalFormat priority="7">
      <pivotAreas count="1">
        <pivotArea type="data" collapsedLevelsAreSubtotals="1" fieldPosition="0">
          <references count="2">
            <reference field="4294967294" count="1" selected="0">
              <x v="0"/>
            </reference>
            <reference field="4"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421FEF-24D7-4023-A9A1-6E23147FC7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showAll="0"/>
    <pivotField showAll="0"/>
    <pivotField showAll="0"/>
    <pivotField showAll="0" maxSubtotal="1">
      <items count="3">
        <item x="0"/>
        <item x="1"/>
        <item t="max"/>
      </items>
    </pivotField>
    <pivotField axis="axisRow" showAll="0">
      <items count="4">
        <item x="0"/>
        <item x="2"/>
        <item x="1"/>
        <item t="default"/>
      </items>
    </pivotField>
    <pivotField showAll="0"/>
    <pivotField numFmtId="9" showAll="0"/>
    <pivotField dataField="1" showAll="0"/>
  </pivotFields>
  <rowFields count="1">
    <field x="4"/>
  </rowFields>
  <rowItems count="4">
    <i>
      <x/>
    </i>
    <i>
      <x v="1"/>
    </i>
    <i>
      <x v="2"/>
    </i>
    <i t="grand">
      <x/>
    </i>
  </rowItems>
  <colItems count="1">
    <i/>
  </colItems>
  <dataFields count="1">
    <dataField name="Average of Exam Score" fld="7" subtotal="average" baseField="4" baseItem="0" numFmtId="1"/>
  </dataFields>
  <formats count="1">
    <format dxfId="15">
      <pivotArea outline="0" collapsedLevelsAreSubtotals="1" fieldPosition="0"/>
    </format>
  </formats>
  <conditionalFormats count="1">
    <conditionalFormat priority="8">
      <pivotAreas count="1">
        <pivotArea type="data" collapsedLevelsAreSubtotals="1" fieldPosition="0">
          <references count="2">
            <reference field="4294967294" count="1" selected="0">
              <x v="0"/>
            </reference>
            <reference field="4"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9EB531-FB95-479F-879D-A5928DD240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8">
    <pivotField showAll="0"/>
    <pivotField showAll="0"/>
    <pivotField showAll="0"/>
    <pivotField axis="axisRow" showAll="0">
      <items count="3">
        <item x="0"/>
        <item x="1"/>
        <item t="default"/>
      </items>
    </pivotField>
    <pivotField showAll="0"/>
    <pivotField showAll="0"/>
    <pivotField numFmtId="9" showAll="0"/>
    <pivotField dataField="1" showAll="0"/>
  </pivotFields>
  <rowFields count="1">
    <field x="3"/>
  </rowFields>
  <rowItems count="3">
    <i>
      <x/>
    </i>
    <i>
      <x v="1"/>
    </i>
    <i t="grand">
      <x/>
    </i>
  </rowItems>
  <colItems count="1">
    <i/>
  </colItems>
  <dataFields count="1">
    <dataField name="Average of Exam Score" fld="7" subtotal="average" baseField="3" baseItem="0" numFmtId="1"/>
  </dataFields>
  <formats count="6">
    <format dxfId="21">
      <pivotArea type="all" dataOnly="0" outline="0" fieldPosition="0"/>
    </format>
    <format dxfId="20">
      <pivotArea outline="0" collapsedLevelsAreSubtotals="1" fieldPosition="0"/>
    </format>
    <format dxfId="19">
      <pivotArea field="3" type="button" dataOnly="0" labelOnly="1" outline="0" axis="axisRow" fieldPosition="0"/>
    </format>
    <format dxfId="18">
      <pivotArea dataOnly="0" labelOnly="1" fieldPosition="0">
        <references count="1">
          <reference field="3" count="0"/>
        </references>
      </pivotArea>
    </format>
    <format dxfId="17">
      <pivotArea dataOnly="0" labelOnly="1" grandRow="1" outline="0" fieldPosition="0"/>
    </format>
    <format dxfId="16">
      <pivotArea dataOnly="0" labelOnly="1" outline="0" axis="axisValues" fieldPosition="0"/>
    </format>
  </formats>
  <conditionalFormats count="1">
    <conditionalFormat priority="6">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1E52A5-9712-4BE6-AA09-4F6E39F7F6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8">
    <pivotField showAll="0">
      <items count="31">
        <item x="6"/>
        <item x="16"/>
        <item x="25"/>
        <item x="3"/>
        <item x="11"/>
        <item x="21"/>
        <item x="1"/>
        <item x="12"/>
        <item x="28"/>
        <item x="17"/>
        <item x="4"/>
        <item x="22"/>
        <item x="7"/>
        <item x="18"/>
        <item x="13"/>
        <item x="26"/>
        <item x="8"/>
        <item x="29"/>
        <item x="2"/>
        <item x="23"/>
        <item x="19"/>
        <item x="14"/>
        <item x="9"/>
        <item x="27"/>
        <item x="10"/>
        <item x="20"/>
        <item x="15"/>
        <item x="24"/>
        <item x="5"/>
        <item x="0"/>
        <item t="default"/>
      </items>
    </pivotField>
    <pivotField showAll="0"/>
    <pivotField showAll="0"/>
    <pivotField showAll="0"/>
    <pivotField axis="axisRow" showAll="0">
      <items count="4">
        <item x="0"/>
        <item h="1" x="2"/>
        <item h="1" x="1"/>
        <item t="default"/>
      </items>
    </pivotField>
    <pivotField showAll="0"/>
    <pivotField numFmtId="9" showAll="0"/>
    <pivotField dataField="1" showAll="0"/>
  </pivotFields>
  <rowFields count="1">
    <field x="4"/>
  </rowFields>
  <rowItems count="2">
    <i>
      <x/>
    </i>
    <i t="grand">
      <x/>
    </i>
  </rowItems>
  <colItems count="1">
    <i/>
  </colItems>
  <dataFields count="1">
    <dataField name="Average of Exam Score" fld="7" subtotal="average" baseField="4" baseItem="0"/>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3D3429-7156-40B6-AF32-8E30D54E9A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8">
    <pivotField dataField="1" showAll="0">
      <items count="31">
        <item x="6"/>
        <item x="16"/>
        <item x="25"/>
        <item x="3"/>
        <item x="11"/>
        <item x="21"/>
        <item x="1"/>
        <item x="12"/>
        <item x="28"/>
        <item x="17"/>
        <item x="4"/>
        <item x="22"/>
        <item x="7"/>
        <item x="18"/>
        <item x="13"/>
        <item x="26"/>
        <item x="8"/>
        <item x="29"/>
        <item x="2"/>
        <item x="23"/>
        <item x="19"/>
        <item x="14"/>
        <item x="9"/>
        <item x="27"/>
        <item x="10"/>
        <item x="20"/>
        <item x="15"/>
        <item x="24"/>
        <item x="5"/>
        <item x="0"/>
        <item t="default"/>
      </items>
    </pivotField>
    <pivotField showAll="0">
      <items count="30">
        <item x="9"/>
        <item x="28"/>
        <item x="17"/>
        <item x="15"/>
        <item x="14"/>
        <item x="20"/>
        <item x="6"/>
        <item x="7"/>
        <item x="10"/>
        <item x="18"/>
        <item x="16"/>
        <item x="3"/>
        <item x="19"/>
        <item x="11"/>
        <item x="5"/>
        <item x="1"/>
        <item x="13"/>
        <item x="8"/>
        <item x="25"/>
        <item x="4"/>
        <item x="21"/>
        <item x="12"/>
        <item x="0"/>
        <item x="26"/>
        <item x="27"/>
        <item x="22"/>
        <item x="24"/>
        <item x="2"/>
        <item x="23"/>
        <item t="default"/>
      </items>
    </pivotField>
    <pivotField showAll="0"/>
    <pivotField axis="axisRow" showAll="0">
      <items count="3">
        <item x="0"/>
        <item x="1"/>
        <item t="default"/>
      </items>
    </pivotField>
    <pivotField showAll="0"/>
    <pivotField showAll="0"/>
    <pivotField numFmtId="9" showAll="0"/>
    <pivotField showAll="0"/>
  </pivotFields>
  <rowFields count="1">
    <field x="3"/>
  </rowFields>
  <rowItems count="3">
    <i>
      <x/>
    </i>
    <i>
      <x v="1"/>
    </i>
    <i t="grand">
      <x/>
    </i>
  </rowItems>
  <colItems count="1">
    <i/>
  </colItems>
  <dataFields count="1">
    <dataField name="Count of Student ID" fld="0" subtotal="count" baseField="0" baseItem="0"/>
  </dataFields>
  <formats count="1">
    <format dxfId="7">
      <pivotArea outline="0" collapsedLevelsAreSubtotals="1" fieldPosition="0"/>
    </format>
  </formats>
  <chartFormats count="4">
    <chartFormat chart="0" format="3"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D1BCE4-C66B-4915-8664-38104E99A8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showAll="0"/>
    <pivotField showAll="0"/>
    <pivotField showAll="0"/>
    <pivotField dataField="1" showAll="0">
      <items count="11">
        <item x="0"/>
        <item x="1"/>
        <item x="2"/>
        <item x="3"/>
        <item x="4"/>
        <item x="5"/>
        <item x="6"/>
        <item x="7"/>
        <item x="8"/>
        <item x="9"/>
        <item t="default"/>
      </items>
    </pivotField>
    <pivotField numFmtId="9" showAll="0"/>
    <pivotField showAll="0"/>
  </pivotFields>
  <rowItems count="1">
    <i/>
  </rowItems>
  <colItems count="1">
    <i/>
  </colItems>
  <dataFields count="1">
    <dataField name="Average of Study Hours" fld="5" subtotal="average"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20F4E1-1EC9-4072-B2FC-FC06BC149F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dataField="1" showAll="0"/>
    <pivotField showAll="0"/>
    <pivotField showAll="0"/>
    <pivotField showAll="0"/>
    <pivotField showAll="0"/>
    <pivotField showAll="0"/>
    <pivotField numFmtId="9" showAll="0"/>
    <pivotField showAll="0"/>
  </pivotFields>
  <rowItems count="1">
    <i/>
  </rowItems>
  <colItems count="1">
    <i/>
  </colItem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9D3F45-89CF-45DF-9411-1AA8517351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showAll="0"/>
    <pivotField showAll="0"/>
    <pivotField showAll="0"/>
    <pivotField showAll="0"/>
    <pivotField dataField="1" numFmtId="9" showAll="0"/>
    <pivotField showAll="0"/>
  </pivotFields>
  <rowItems count="1">
    <i/>
  </rowItems>
  <colItems count="1">
    <i/>
  </colItems>
  <dataFields count="1">
    <dataField name="Average of Attendance Percentage" fld="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70875D4-181E-4132-8F22-7B8F2CA1981D}" sourceName="Department">
  <pivotTables>
    <pivotTable tabId="14" name="PivotTable1"/>
  </pivotTables>
  <data>
    <tabular pivotCacheId="1889642830">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A9E08BD-7AD6-44BF-A61B-FB50A9B629E9}" cache="Slicer_Department" caption="Department" showCaption="0" style="SlicerStyleOther1" rowHeight="169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FF4A1-C631-488C-BB43-E1A55E045889}" name="Table1" displayName="Table1" ref="A1:H31" totalsRowShown="0" headerRowDxfId="38" dataDxfId="36" headerRowBorderDxfId="37" tableBorderDxfId="35" totalsRowBorderDxfId="34">
  <autoFilter ref="A1:H31" xr:uid="{A06FF4A1-C631-488C-BB43-E1A55E045889}"/>
  <sortState xmlns:xlrd2="http://schemas.microsoft.com/office/spreadsheetml/2017/richdata2" ref="A2:H31">
    <sortCondition ref="F1:F31"/>
  </sortState>
  <tableColumns count="8">
    <tableColumn id="1" xr3:uid="{52762A1A-BA30-470A-9AB2-8D8D64F1B236}" name="Student ID" dataDxfId="33"/>
    <tableColumn id="2" xr3:uid="{7DCBF8BE-AA4D-4B8B-9534-02E3C5F9745C}" name="Student Name" dataDxfId="32"/>
    <tableColumn id="3" xr3:uid="{5B655336-F60F-4C65-83A9-C9F07D328C9C}" name="Age" dataDxfId="31"/>
    <tableColumn id="4" xr3:uid="{AD0B4D05-E48F-467F-85A6-7728D0CD6B28}" name="Gender" dataDxfId="30"/>
    <tableColumn id="5" xr3:uid="{4E43AEB4-779F-4D51-994F-F54902946DF7}" name="Department" dataDxfId="29"/>
    <tableColumn id="6" xr3:uid="{2A6F14F5-703F-4FBF-980A-34ECAAC124F4}" name="Study Hours" dataDxfId="28"/>
    <tableColumn id="7" xr3:uid="{0791B638-DA57-4E36-9F9A-6C8DB2FC431A}" name="Attendance Percentage" dataDxfId="27"/>
    <tableColumn id="8" xr3:uid="{5E74386B-647F-4477-8C94-C5BCDAD7ADCE}" name="Exam Score"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87070F-B0B5-4D93-9F62-597D40A39244}" name="Table2" displayName="Table2" ref="G3:G4" totalsRowShown="0">
  <autoFilter ref="G3:G4" xr:uid="{A687070F-B0B5-4D93-9F62-597D40A39244}"/>
  <tableColumns count="1">
    <tableColumn id="1" xr3:uid="{2019A8D5-93CD-4B32-8D20-8BD0C799001B}" name="Number of Students that Scored atleast 70">
      <calculatedColumnFormula>COUNTIF(Table1[Exam Score],"&gt;=70")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E85817-1789-48A3-AAD5-7FA3C0360A9E}" name="Table3" displayName="Table3" ref="G6:G7" totalsRowShown="0" headerRowDxfId="11" headerRowBorderDxfId="10" tableBorderDxfId="9">
  <autoFilter ref="G6:G7" xr:uid="{0FE85817-1789-48A3-AAD5-7FA3C0360A9E}"/>
  <tableColumns count="1">
    <tableColumn id="1" xr3:uid="{DE82FA11-CDAA-45AD-98C4-73EEC7247B8E}" name="Number of Students that Scored atleast  50">
      <calculatedColumnFormula>+COUNTIF(Table1[Exam Score],"&lt;=50")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 dockstate="right" visibility="0" width="438" row="8">
    <wetp:webextensionref xmlns:r="http://schemas.openxmlformats.org/officeDocument/2006/relationships" r:id="rId3"/>
  </wetp:taskpane>
  <wetp:taskpane dockstate="right" visibility="0" width="438" row="5">
    <wetp:webextensionref xmlns:r="http://schemas.openxmlformats.org/officeDocument/2006/relationships" r:id="rId4"/>
  </wetp:taskpane>
</wetp:taskpanes>
</file>

<file path=xl/webextensions/webextension1.xml><?xml version="1.0" encoding="utf-8"?>
<we:webextension xmlns:we="http://schemas.microsoft.com/office/webextensions/webextension/2010/11" id="{B84CFCF9-EFFB-449E-9A8C-BF33C6B85338}">
  <we:reference id="wa200009404" version="1.0.0.8" store="en-US" storeType="OMEX"/>
  <we:alternateReferences>
    <we:reference id="wa200009404" version="1.0.0.8" store="wa200009404" storeType="OMEX"/>
  </we:alternateReferences>
  <we:properties>
    <we:property name="claude.fileId" value="&quot;30d59d29-8161-46dc-be2b-29d3bbec666d&quot;"/>
  </we:properties>
  <we:bindings/>
  <we:snapshot xmlns:r="http://schemas.openxmlformats.org/officeDocument/2006/relationships"/>
</we:webextension>
</file>

<file path=xl/webextensions/webextension2.xml><?xml version="1.0" encoding="utf-8"?>
<we:webextension xmlns:we="http://schemas.microsoft.com/office/webextensions/webextension/2010/11" id="{35EB8236-432A-4662-AC60-4FDCE8F17CC7}">
  <we:reference id="wa200010725" version="1.0.0.1" store="en-US" storeType="OMEX"/>
  <we:alternateReferences>
    <we:reference id="wa200010725" version="1.0.0.1" store="wa200010725" storeType="OMEX"/>
  </we:alternateReferences>
  <we:properties>
    <we:property name="claude.fileId" value="&quot;129a8c7b-26da-4b63-bd89-c91315b915d6&quot;"/>
  </we:properties>
  <we:bindings/>
  <we:snapshot xmlns:r="http://schemas.openxmlformats.org/officeDocument/2006/relationships"/>
</we:webextension>
</file>

<file path=xl/webextensions/webextension3.xml><?xml version="1.0" encoding="utf-8"?>
<we:webextension xmlns:we="http://schemas.microsoft.com/office/webextensions/webextension/2010/11" id="{E508960B-53DE-4424-B097-F6C091301744}">
  <we:reference id="wa200010215" version="2.0.0.1" store="en-US" storeType="OMEX"/>
  <we:alternateReferences>
    <we:reference id="wa200010215" version="2.0.0.1" store="wa200010215" storeType="OMEX"/>
  </we:alternateReferences>
  <we:properties>
    <we:property name="bps.codex_control.document_id" value="&quot;f9de8681-66a5-4be2-9636-fb34a50db523&quot;"/>
  </we:properties>
  <we:bindings/>
  <we:snapshot xmlns:r="http://schemas.openxmlformats.org/officeDocument/2006/relationships"/>
</we:webextension>
</file>

<file path=xl/webextensions/webextension4.xml><?xml version="1.0" encoding="utf-8"?>
<we:webextension xmlns:we="http://schemas.microsoft.com/office/webextensions/webextension/2010/11" id="{D43A27A0-242B-4222-A831-3EC7BEA84E2D}">
  <we:reference id="wa200005502" version="1.0.0.13" store="en-US" storeType="OMEX"/>
  <we:alternateReferences>
    <we:reference id="WA200005502" version="1.0.0.13" store="" storeType="OMEX"/>
  </we:alternateReferences>
  <we:properties>
    <we:property name="docId" value="&quot;J__L70tvZSFJltOqypw5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84827-4EB1-40BB-B7CA-6F2459575C4E}">
  <sheetPr codeName="Sheet6"/>
  <dimension ref="A1:AC21"/>
  <sheetViews>
    <sheetView showGridLines="0" tabSelected="1" zoomScale="80" zoomScaleNormal="80" workbookViewId="0">
      <selection activeCell="AC7" sqref="AC7"/>
    </sheetView>
  </sheetViews>
  <sheetFormatPr defaultRowHeight="14.4" x14ac:dyDescent="0.3"/>
  <sheetData>
    <row r="1" spans="1:29" x14ac:dyDescent="0.3">
      <c r="A1" s="33" t="s">
        <v>127</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x14ac:dyDescent="0.3">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3" spans="1:29" x14ac:dyDescent="0.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row>
    <row r="4" spans="1:29" x14ac:dyDescent="0.3">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row>
    <row r="20" spans="27:28" x14ac:dyDescent="0.3">
      <c r="AA20" t="s">
        <v>129</v>
      </c>
      <c r="AB20" s="32">
        <f>AVERAGE(Sheet1!$F$2:$F$31)</f>
        <v>5.2333333333333334</v>
      </c>
    </row>
    <row r="21" spans="27:28" x14ac:dyDescent="0.3">
      <c r="AA21" t="s">
        <v>130</v>
      </c>
      <c r="AB21">
        <f>COUNTA(Sheet1!$A$2:$A$31)</f>
        <v>30</v>
      </c>
    </row>
  </sheetData>
  <mergeCells count="1">
    <mergeCell ref="A1:AC4"/>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7F79-30C6-4617-88D2-B04F15BBD199}">
  <sheetPr codeName="Sheet1"/>
  <dimension ref="A1:H31"/>
  <sheetViews>
    <sheetView topLeftCell="A17" workbookViewId="0">
      <selection activeCell="L9" sqref="L9"/>
    </sheetView>
  </sheetViews>
  <sheetFormatPr defaultColWidth="13.6640625" defaultRowHeight="16.8" customHeight="1" x14ac:dyDescent="0.3"/>
  <cols>
    <col min="1" max="1" width="14.109375" bestFit="1" customWidth="1"/>
    <col min="2" max="2" width="17.33203125" bestFit="1" customWidth="1"/>
    <col min="3" max="3" width="8.44140625" bestFit="1" customWidth="1"/>
    <col min="4" max="4" width="11.5546875" bestFit="1" customWidth="1"/>
    <col min="5" max="5" width="15.88671875" bestFit="1" customWidth="1"/>
    <col min="6" max="6" width="15.44140625" bestFit="1" customWidth="1"/>
    <col min="7" max="7" width="24.88671875" bestFit="1" customWidth="1"/>
    <col min="8" max="8" width="15.109375" bestFit="1" customWidth="1"/>
    <col min="11" max="11" width="4" bestFit="1" customWidth="1"/>
  </cols>
  <sheetData>
    <row r="1" spans="1:8" ht="16.8" customHeight="1" x14ac:dyDescent="0.3">
      <c r="A1" s="7" t="s">
        <v>0</v>
      </c>
      <c r="B1" s="8" t="s">
        <v>1</v>
      </c>
      <c r="C1" s="8" t="s">
        <v>2</v>
      </c>
      <c r="D1" s="8" t="s">
        <v>3</v>
      </c>
      <c r="E1" s="8" t="s">
        <v>4</v>
      </c>
      <c r="F1" s="8" t="s">
        <v>5</v>
      </c>
      <c r="G1" s="8" t="s">
        <v>6</v>
      </c>
      <c r="H1" s="9" t="s">
        <v>7</v>
      </c>
    </row>
    <row r="2" spans="1:8" ht="16.8" customHeight="1" x14ac:dyDescent="0.3">
      <c r="A2" s="10" t="s">
        <v>71</v>
      </c>
      <c r="B2" s="11" t="s">
        <v>72</v>
      </c>
      <c r="C2" s="2">
        <v>19</v>
      </c>
      <c r="D2" s="11" t="s">
        <v>14</v>
      </c>
      <c r="E2" s="11" t="s">
        <v>18</v>
      </c>
      <c r="F2" s="11">
        <v>-2</v>
      </c>
      <c r="G2" s="12">
        <v>0.88</v>
      </c>
      <c r="H2">
        <v>79</v>
      </c>
    </row>
    <row r="3" spans="1:8" ht="16.8" customHeight="1" x14ac:dyDescent="0.3">
      <c r="A3" s="10" t="s">
        <v>25</v>
      </c>
      <c r="B3" s="11" t="s">
        <v>26</v>
      </c>
      <c r="C3" s="2">
        <v>23</v>
      </c>
      <c r="D3" s="11" t="s">
        <v>10</v>
      </c>
      <c r="E3" s="11" t="s">
        <v>11</v>
      </c>
      <c r="F3" s="11">
        <v>2</v>
      </c>
      <c r="G3" s="12">
        <v>0.65</v>
      </c>
      <c r="H3" s="13">
        <v>52</v>
      </c>
    </row>
    <row r="4" spans="1:8" ht="16.8" customHeight="1" x14ac:dyDescent="0.3">
      <c r="A4" s="10" t="s">
        <v>49</v>
      </c>
      <c r="B4" s="11" t="s">
        <v>50</v>
      </c>
      <c r="C4" s="2">
        <v>25</v>
      </c>
      <c r="D4" s="11" t="s">
        <v>10</v>
      </c>
      <c r="E4" s="11" t="s">
        <v>11</v>
      </c>
      <c r="F4" s="11">
        <v>2</v>
      </c>
      <c r="G4" s="12">
        <v>0.57999999999999996</v>
      </c>
      <c r="H4" s="13">
        <v>45</v>
      </c>
    </row>
    <row r="5" spans="1:8" ht="16.8" customHeight="1" x14ac:dyDescent="0.3">
      <c r="A5" s="10" t="s">
        <v>19</v>
      </c>
      <c r="B5" s="11" t="s">
        <v>20</v>
      </c>
      <c r="C5" s="2">
        <v>18</v>
      </c>
      <c r="D5" s="11" t="s">
        <v>14</v>
      </c>
      <c r="E5" s="11" t="s">
        <v>11</v>
      </c>
      <c r="F5" s="11">
        <v>3</v>
      </c>
      <c r="G5" s="12">
        <v>0.78</v>
      </c>
      <c r="H5" s="13">
        <v>64</v>
      </c>
    </row>
    <row r="6" spans="1:8" ht="16.8" customHeight="1" x14ac:dyDescent="0.3">
      <c r="A6" s="10" t="s">
        <v>33</v>
      </c>
      <c r="B6" s="11" t="s">
        <v>34</v>
      </c>
      <c r="C6" s="2">
        <v>24</v>
      </c>
      <c r="D6" s="11" t="s">
        <v>10</v>
      </c>
      <c r="E6" s="11" t="s">
        <v>15</v>
      </c>
      <c r="F6" s="11">
        <v>3</v>
      </c>
      <c r="G6" s="12">
        <v>0.72</v>
      </c>
      <c r="H6" s="13">
        <v>61</v>
      </c>
    </row>
    <row r="7" spans="1:8" ht="16.8" customHeight="1" x14ac:dyDescent="0.3">
      <c r="A7" s="10" t="s">
        <v>69</v>
      </c>
      <c r="B7" s="11" t="s">
        <v>70</v>
      </c>
      <c r="C7" s="2">
        <v>23</v>
      </c>
      <c r="D7" s="11" t="s">
        <v>10</v>
      </c>
      <c r="E7" s="11" t="s">
        <v>15</v>
      </c>
      <c r="F7" s="11">
        <v>3</v>
      </c>
      <c r="G7" s="12">
        <v>0.74</v>
      </c>
      <c r="H7" s="13"/>
    </row>
    <row r="8" spans="1:8" ht="16.8" customHeight="1" x14ac:dyDescent="0.3">
      <c r="A8" s="10" t="s">
        <v>8</v>
      </c>
      <c r="B8" s="11" t="s">
        <v>9</v>
      </c>
      <c r="C8" s="2">
        <v>19</v>
      </c>
      <c r="D8" s="11" t="s">
        <v>10</v>
      </c>
      <c r="E8" s="11" t="s">
        <v>11</v>
      </c>
      <c r="F8" s="11">
        <v>4</v>
      </c>
      <c r="G8" s="12">
        <v>0.85</v>
      </c>
      <c r="H8">
        <v>72</v>
      </c>
    </row>
    <row r="9" spans="1:8" ht="16.8" customHeight="1" x14ac:dyDescent="0.3">
      <c r="A9" s="10" t="s">
        <v>37</v>
      </c>
      <c r="B9" s="11" t="s">
        <v>38</v>
      </c>
      <c r="C9" s="2">
        <v>22</v>
      </c>
      <c r="D9" s="11" t="s">
        <v>10</v>
      </c>
      <c r="E9" s="11" t="s">
        <v>11</v>
      </c>
      <c r="F9" s="11">
        <v>4</v>
      </c>
      <c r="G9" s="12">
        <v>0.81</v>
      </c>
      <c r="H9">
        <v>70</v>
      </c>
    </row>
    <row r="10" spans="1:8" ht="16.8" customHeight="1" x14ac:dyDescent="0.3">
      <c r="A10" s="10" t="s">
        <v>45</v>
      </c>
      <c r="B10" s="11" t="s">
        <v>46</v>
      </c>
      <c r="C10" s="2">
        <v>19</v>
      </c>
      <c r="D10" s="11" t="s">
        <v>10</v>
      </c>
      <c r="E10" s="11" t="s">
        <v>15</v>
      </c>
      <c r="F10" s="11">
        <v>4</v>
      </c>
      <c r="G10" s="12">
        <v>0.86</v>
      </c>
      <c r="H10">
        <v>73</v>
      </c>
    </row>
    <row r="11" spans="1:8" ht="16.8" customHeight="1" x14ac:dyDescent="0.3">
      <c r="A11" s="10" t="s">
        <v>57</v>
      </c>
      <c r="B11" s="11" t="s">
        <v>58</v>
      </c>
      <c r="C11" s="2">
        <v>22</v>
      </c>
      <c r="D11" s="11" t="s">
        <v>10</v>
      </c>
      <c r="E11" s="11" t="s">
        <v>15</v>
      </c>
      <c r="F11" s="11">
        <v>4</v>
      </c>
      <c r="G11" s="12">
        <v>0.79</v>
      </c>
      <c r="H11" s="13">
        <v>68</v>
      </c>
    </row>
    <row r="12" spans="1:8" ht="16.8" customHeight="1" x14ac:dyDescent="0.3">
      <c r="A12" s="10" t="s">
        <v>61</v>
      </c>
      <c r="B12" s="11" t="s">
        <v>9</v>
      </c>
      <c r="C12" s="2">
        <v>19</v>
      </c>
      <c r="D12" s="11" t="s">
        <v>10</v>
      </c>
      <c r="E12" s="11" t="s">
        <v>11</v>
      </c>
      <c r="F12" s="11">
        <v>4</v>
      </c>
      <c r="G12" s="12">
        <v>0.85</v>
      </c>
      <c r="H12">
        <v>72</v>
      </c>
    </row>
    <row r="13" spans="1:8" ht="16.8" customHeight="1" x14ac:dyDescent="0.3">
      <c r="A13" s="10" t="s">
        <v>21</v>
      </c>
      <c r="B13" s="11" t="s">
        <v>22</v>
      </c>
      <c r="C13" s="2">
        <v>22</v>
      </c>
      <c r="D13" s="11" t="s">
        <v>10</v>
      </c>
      <c r="E13" s="11" t="s">
        <v>15</v>
      </c>
      <c r="F13" s="11">
        <v>5</v>
      </c>
      <c r="G13" s="12">
        <v>0.88</v>
      </c>
      <c r="H13">
        <v>76</v>
      </c>
    </row>
    <row r="14" spans="1:8" ht="16.8" customHeight="1" x14ac:dyDescent="0.3">
      <c r="A14" s="10" t="s">
        <v>27</v>
      </c>
      <c r="B14" s="11" t="s">
        <v>28</v>
      </c>
      <c r="C14" s="2">
        <v>19</v>
      </c>
      <c r="D14" s="11" t="s">
        <v>14</v>
      </c>
      <c r="E14" s="11" t="s">
        <v>15</v>
      </c>
      <c r="F14" s="11">
        <v>5</v>
      </c>
      <c r="G14" s="12">
        <v>0.89</v>
      </c>
      <c r="H14">
        <v>79</v>
      </c>
    </row>
    <row r="15" spans="1:8" ht="16.8" customHeight="1" x14ac:dyDescent="0.3">
      <c r="A15" s="10" t="s">
        <v>41</v>
      </c>
      <c r="B15" s="11" t="s">
        <v>42</v>
      </c>
      <c r="C15" s="2">
        <v>21</v>
      </c>
      <c r="D15" s="11" t="s">
        <v>10</v>
      </c>
      <c r="E15" s="11" t="s">
        <v>18</v>
      </c>
      <c r="F15" s="11">
        <v>5</v>
      </c>
      <c r="G15" s="12">
        <v>0.84</v>
      </c>
      <c r="H15">
        <v>74</v>
      </c>
    </row>
    <row r="16" spans="1:8" ht="16.8" customHeight="1" x14ac:dyDescent="0.3">
      <c r="A16" s="10" t="s">
        <v>55</v>
      </c>
      <c r="B16" s="11" t="s">
        <v>56</v>
      </c>
      <c r="C16" s="2">
        <v>19</v>
      </c>
      <c r="D16" s="11" t="s">
        <v>14</v>
      </c>
      <c r="E16" s="11" t="s">
        <v>11</v>
      </c>
      <c r="F16" s="11">
        <v>5</v>
      </c>
      <c r="G16" s="12">
        <v>0.83</v>
      </c>
      <c r="H16">
        <v>75</v>
      </c>
    </row>
    <row r="17" spans="1:8" ht="16.8" customHeight="1" x14ac:dyDescent="0.3">
      <c r="A17" s="10" t="s">
        <v>64</v>
      </c>
      <c r="B17" s="11" t="s">
        <v>65</v>
      </c>
      <c r="C17" s="2">
        <v>21</v>
      </c>
      <c r="D17" s="11" t="s">
        <v>10</v>
      </c>
      <c r="E17" s="11" t="s">
        <v>18</v>
      </c>
      <c r="F17" s="11">
        <v>5</v>
      </c>
      <c r="G17" s="12">
        <v>0.82</v>
      </c>
      <c r="H17">
        <v>71</v>
      </c>
    </row>
    <row r="18" spans="1:8" ht="16.8" customHeight="1" x14ac:dyDescent="0.3">
      <c r="A18" s="10" t="s">
        <v>12</v>
      </c>
      <c r="B18" s="11" t="s">
        <v>13</v>
      </c>
      <c r="C18" s="2">
        <v>20</v>
      </c>
      <c r="D18" s="11" t="s">
        <v>14</v>
      </c>
      <c r="E18" s="11" t="s">
        <v>15</v>
      </c>
      <c r="F18" s="11">
        <v>6</v>
      </c>
      <c r="G18" s="12">
        <v>0.92</v>
      </c>
      <c r="H18">
        <v>88</v>
      </c>
    </row>
    <row r="19" spans="1:8" ht="16.8" customHeight="1" x14ac:dyDescent="0.3">
      <c r="A19" s="10" t="s">
        <v>31</v>
      </c>
      <c r="B19" s="11" t="s">
        <v>32</v>
      </c>
      <c r="C19" s="2">
        <v>20</v>
      </c>
      <c r="D19" s="11" t="s">
        <v>14</v>
      </c>
      <c r="E19" s="11" t="s">
        <v>11</v>
      </c>
      <c r="F19" s="11">
        <v>6</v>
      </c>
      <c r="G19" s="12">
        <v>0.9</v>
      </c>
      <c r="H19">
        <v>81</v>
      </c>
    </row>
    <row r="20" spans="1:8" ht="16.8" customHeight="1" x14ac:dyDescent="0.3">
      <c r="A20" s="10" t="s">
        <v>39</v>
      </c>
      <c r="B20" s="11" t="s">
        <v>40</v>
      </c>
      <c r="C20" s="2">
        <v>18</v>
      </c>
      <c r="D20" s="11" t="s">
        <v>14</v>
      </c>
      <c r="E20" s="11" t="s">
        <v>15</v>
      </c>
      <c r="F20" s="11">
        <v>6</v>
      </c>
      <c r="G20" s="12">
        <v>0.95</v>
      </c>
      <c r="H20">
        <v>86</v>
      </c>
    </row>
    <row r="21" spans="1:8" ht="16.8" customHeight="1" x14ac:dyDescent="0.3">
      <c r="A21" s="10" t="s">
        <v>53</v>
      </c>
      <c r="B21" s="11" t="s">
        <v>54</v>
      </c>
      <c r="C21" s="2">
        <v>21</v>
      </c>
      <c r="D21" s="11" t="s">
        <v>10</v>
      </c>
      <c r="E21" s="11" t="s">
        <v>18</v>
      </c>
      <c r="F21" s="11">
        <v>6</v>
      </c>
      <c r="G21" s="12">
        <v>0.87</v>
      </c>
      <c r="H21">
        <v>80</v>
      </c>
    </row>
    <row r="22" spans="1:8" ht="16.8" customHeight="1" x14ac:dyDescent="0.3">
      <c r="A22" s="10" t="s">
        <v>62</v>
      </c>
      <c r="B22" s="11" t="s">
        <v>63</v>
      </c>
      <c r="C22" s="2"/>
      <c r="D22" s="11" t="s">
        <v>14</v>
      </c>
      <c r="E22" s="11" t="s">
        <v>15</v>
      </c>
      <c r="F22" s="11">
        <v>6</v>
      </c>
      <c r="G22" s="12">
        <v>0.89</v>
      </c>
      <c r="H22">
        <v>77</v>
      </c>
    </row>
    <row r="23" spans="1:8" ht="16.8" customHeight="1" x14ac:dyDescent="0.3">
      <c r="A23" s="10" t="s">
        <v>23</v>
      </c>
      <c r="B23" s="11" t="s">
        <v>24</v>
      </c>
      <c r="C23" s="2">
        <v>20</v>
      </c>
      <c r="D23" s="11" t="s">
        <v>14</v>
      </c>
      <c r="E23" s="11" t="s">
        <v>18</v>
      </c>
      <c r="F23" s="11">
        <v>7</v>
      </c>
      <c r="G23" s="12">
        <v>0.94</v>
      </c>
      <c r="H23">
        <v>85</v>
      </c>
    </row>
    <row r="24" spans="1:8" ht="16.8" customHeight="1" x14ac:dyDescent="0.3">
      <c r="A24" s="10" t="s">
        <v>35</v>
      </c>
      <c r="B24" s="11" t="s">
        <v>36</v>
      </c>
      <c r="C24" s="2">
        <v>19</v>
      </c>
      <c r="D24" s="11" t="s">
        <v>14</v>
      </c>
      <c r="E24" s="11" t="s">
        <v>18</v>
      </c>
      <c r="F24" s="11">
        <v>7</v>
      </c>
      <c r="G24" s="12">
        <v>0.93</v>
      </c>
      <c r="H24">
        <v>87</v>
      </c>
    </row>
    <row r="25" spans="1:8" ht="16.8" customHeight="1" x14ac:dyDescent="0.3">
      <c r="A25" s="10" t="s">
        <v>51</v>
      </c>
      <c r="B25" s="11" t="s">
        <v>52</v>
      </c>
      <c r="C25" s="2">
        <v>20</v>
      </c>
      <c r="D25" s="11" t="s">
        <v>14</v>
      </c>
      <c r="E25" s="11" t="s">
        <v>15</v>
      </c>
      <c r="F25" s="11">
        <v>7</v>
      </c>
      <c r="G25" s="12">
        <v>0.91</v>
      </c>
      <c r="H25">
        <v>84</v>
      </c>
    </row>
    <row r="26" spans="1:8" ht="16.8" customHeight="1" x14ac:dyDescent="0.3">
      <c r="A26" s="10" t="s">
        <v>67</v>
      </c>
      <c r="B26" s="11" t="s">
        <v>68</v>
      </c>
      <c r="C26" s="2">
        <v>20</v>
      </c>
      <c r="D26" s="11" t="s">
        <v>14</v>
      </c>
      <c r="E26" s="11" t="s">
        <v>11</v>
      </c>
      <c r="F26" s="11">
        <v>7</v>
      </c>
      <c r="G26" s="12">
        <v>1.05</v>
      </c>
      <c r="H26">
        <v>83</v>
      </c>
    </row>
    <row r="27" spans="1:8" ht="16.8" customHeight="1" x14ac:dyDescent="0.3">
      <c r="A27" s="10" t="s">
        <v>16</v>
      </c>
      <c r="B27" s="11" t="s">
        <v>17</v>
      </c>
      <c r="C27" s="2">
        <v>21</v>
      </c>
      <c r="D27" s="11" t="s">
        <v>10</v>
      </c>
      <c r="E27" s="11" t="s">
        <v>18</v>
      </c>
      <c r="F27" s="11">
        <v>8</v>
      </c>
      <c r="G27" s="12">
        <v>0.96</v>
      </c>
      <c r="H27">
        <v>91</v>
      </c>
    </row>
    <row r="28" spans="1:8" ht="16.8" customHeight="1" x14ac:dyDescent="0.3">
      <c r="A28" s="10" t="s">
        <v>43</v>
      </c>
      <c r="B28" s="11" t="s">
        <v>44</v>
      </c>
      <c r="C28" s="2">
        <v>20</v>
      </c>
      <c r="D28" s="11" t="s">
        <v>14</v>
      </c>
      <c r="E28" s="11" t="s">
        <v>11</v>
      </c>
      <c r="F28" s="11">
        <v>8</v>
      </c>
      <c r="G28" s="12">
        <v>0.97</v>
      </c>
      <c r="H28">
        <v>92</v>
      </c>
    </row>
    <row r="29" spans="1:8" ht="16.8" customHeight="1" x14ac:dyDescent="0.3">
      <c r="A29" s="10" t="s">
        <v>59</v>
      </c>
      <c r="B29" s="11" t="s">
        <v>60</v>
      </c>
      <c r="C29" s="2">
        <v>20</v>
      </c>
      <c r="D29" s="11" t="s">
        <v>14</v>
      </c>
      <c r="E29" s="11" t="s">
        <v>18</v>
      </c>
      <c r="F29" s="11">
        <v>8</v>
      </c>
      <c r="G29" s="12">
        <v>0.96</v>
      </c>
      <c r="H29">
        <v>90</v>
      </c>
    </row>
    <row r="30" spans="1:8" ht="16.8" customHeight="1" x14ac:dyDescent="0.3">
      <c r="A30" s="10" t="s">
        <v>29</v>
      </c>
      <c r="B30" s="11" t="s">
        <v>30</v>
      </c>
      <c r="C30" s="2">
        <v>21</v>
      </c>
      <c r="D30" s="11" t="s">
        <v>10</v>
      </c>
      <c r="E30" s="11" t="s">
        <v>18</v>
      </c>
      <c r="F30" s="11">
        <v>9</v>
      </c>
      <c r="G30" s="12">
        <v>0.98</v>
      </c>
      <c r="H30">
        <v>95</v>
      </c>
    </row>
    <row r="31" spans="1:8" ht="16.8" customHeight="1" x14ac:dyDescent="0.3">
      <c r="A31" s="14" t="s">
        <v>47</v>
      </c>
      <c r="B31" s="15" t="s">
        <v>48</v>
      </c>
      <c r="C31" s="2">
        <v>22</v>
      </c>
      <c r="D31" s="15" t="s">
        <v>14</v>
      </c>
      <c r="E31" s="15" t="s">
        <v>18</v>
      </c>
      <c r="F31" s="15">
        <v>10</v>
      </c>
      <c r="G31" s="16">
        <v>0.99</v>
      </c>
      <c r="H31">
        <v>98</v>
      </c>
    </row>
  </sheetData>
  <sheetProtection algorithmName="SHA-512" hashValue="z3LYyA6L71Pv4MdK/YcZBEHhofCTFHG8jvnOIWSlzO+9TZ23Y+deE8WaDDzBsXNtaS0/YusmrDfSJD9VmIIWCA==" saltValue="J5GX9IWJMGaunPAWvjnKRQ==" spinCount="100000" sheet="1" objects="1" scenarios="1"/>
  <conditionalFormatting sqref="A2:B31">
    <cfRule type="duplicateValues" dxfId="5" priority="5"/>
  </conditionalFormatting>
  <conditionalFormatting sqref="F2:F31">
    <cfRule type="cellIs" dxfId="4" priority="4" operator="lessThan">
      <formula>0</formula>
    </cfRule>
  </conditionalFormatting>
  <conditionalFormatting sqref="G2:G31">
    <cfRule type="cellIs" dxfId="3" priority="2" operator="greaterThan">
      <formula>1</formula>
    </cfRule>
    <cfRule type="cellIs" dxfId="2" priority="3" operator="greaterThan">
      <formula>100</formula>
    </cfRule>
  </conditionalFormatting>
  <conditionalFormatting sqref="H3:H7 H11">
    <cfRule type="cellIs" dxfId="1" priority="1" operator="greaterThan">
      <formula>69</formula>
    </cfRule>
  </conditionalFormatting>
  <dataValidations count="6">
    <dataValidation type="whole" allowBlank="1" showInputMessage="1" showErrorMessage="1" errorTitle="Invalid entry" error="Enter a whole number between 16 and 30." sqref="C32:C1000 C2:C31" xr:uid="{A24E7418-9B66-49F6-998E-62A26985D334}">
      <formula1>16</formula1>
      <formula2>30</formula2>
    </dataValidation>
    <dataValidation type="whole" allowBlank="1" showInputMessage="1" showErrorMessage="1" errorTitle="Invalid entry" error="Enter a whole number between 0 and 12." sqref="F2:F1000" xr:uid="{5A7DE4DE-1C64-496B-A8AD-15C9DCC265E1}">
      <formula1>0</formula1>
      <formula2>12</formula2>
    </dataValidation>
    <dataValidation type="whole" allowBlank="1" showInputMessage="1" showErrorMessage="1" errorTitle="Invalid entry" error="Enter a whole number between 0 and 100." sqref="H2:H1000" xr:uid="{BD0DB611-9AE7-4FDE-AD2F-EBAE65605710}">
      <formula1>0</formula1>
      <formula2>100</formula2>
    </dataValidation>
    <dataValidation type="list" allowBlank="1" showInputMessage="1" showErrorMessage="1" sqref="D2:D1000" xr:uid="{BDD37754-9239-42C7-840D-E4F74D690305}">
      <formula1>"Male,Female"</formula1>
    </dataValidation>
    <dataValidation type="list" allowBlank="1" showInputMessage="1" showErrorMessage="1" sqref="E2:E1000" xr:uid="{140D25D1-F9A2-4246-882A-27864BD9557B}">
      <formula1>"Computer Science,Economics,History"</formula1>
    </dataValidation>
    <dataValidation type="decimal" allowBlank="1" showInputMessage="1" showErrorMessage="1" sqref="G2:G1000" xr:uid="{E0771E84-12D7-4BC3-A0F1-812FC537BB04}">
      <formula1>0</formula1>
      <formula2>1</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88FC-359C-4F0C-9790-09B5579F955B}">
  <sheetPr codeName="Sheet2"/>
  <dimension ref="A1:E17"/>
  <sheetViews>
    <sheetView workbookViewId="0">
      <selection activeCell="M15" sqref="M15"/>
    </sheetView>
  </sheetViews>
  <sheetFormatPr defaultRowHeight="17.399999999999999" customHeight="1" x14ac:dyDescent="0.3"/>
  <cols>
    <col min="1" max="1" width="11.5546875" bestFit="1" customWidth="1"/>
    <col min="2" max="2" width="20" bestFit="1" customWidth="1"/>
    <col min="3" max="3" width="22.109375" bestFit="1" customWidth="1"/>
    <col min="4" max="4" width="25.5546875" bestFit="1" customWidth="1"/>
    <col min="5" max="5" width="37.21875" bestFit="1" customWidth="1"/>
    <col min="7" max="7" width="4" bestFit="1" customWidth="1"/>
  </cols>
  <sheetData>
    <row r="1" spans="1:5" ht="17.399999999999999" customHeight="1" x14ac:dyDescent="0.3">
      <c r="A1" s="4" t="s">
        <v>74</v>
      </c>
      <c r="B1" s="4" t="s">
        <v>75</v>
      </c>
      <c r="C1" s="4" t="s">
        <v>76</v>
      </c>
      <c r="D1" s="4" t="s">
        <v>77</v>
      </c>
      <c r="E1" s="4" t="s">
        <v>78</v>
      </c>
    </row>
    <row r="2" spans="1:5" ht="17.399999999999999" customHeight="1" x14ac:dyDescent="0.3">
      <c r="A2">
        <v>7</v>
      </c>
      <c r="B2" t="s">
        <v>2</v>
      </c>
      <c r="C2" t="s">
        <v>79</v>
      </c>
      <c r="D2" t="s">
        <v>80</v>
      </c>
      <c r="E2" t="s">
        <v>81</v>
      </c>
    </row>
    <row r="3" spans="1:5" ht="17.399999999999999" customHeight="1" x14ac:dyDescent="0.3">
      <c r="A3" s="4" t="s">
        <v>74</v>
      </c>
      <c r="B3" s="4" t="s">
        <v>75</v>
      </c>
      <c r="C3" s="4" t="s">
        <v>76</v>
      </c>
      <c r="D3" s="4" t="s">
        <v>77</v>
      </c>
      <c r="E3" s="4" t="s">
        <v>78</v>
      </c>
    </row>
    <row r="4" spans="1:5" ht="17.399999999999999" customHeight="1" x14ac:dyDescent="0.3">
      <c r="A4">
        <v>30</v>
      </c>
      <c r="B4" t="s">
        <v>82</v>
      </c>
      <c r="C4" t="s">
        <v>79</v>
      </c>
      <c r="D4" t="s">
        <v>80</v>
      </c>
      <c r="E4" t="s">
        <v>83</v>
      </c>
    </row>
    <row r="6" spans="1:5" ht="17.399999999999999" customHeight="1" x14ac:dyDescent="0.3">
      <c r="A6" s="4" t="s">
        <v>74</v>
      </c>
      <c r="B6" s="4" t="s">
        <v>75</v>
      </c>
      <c r="C6" s="4" t="s">
        <v>76</v>
      </c>
      <c r="D6" s="4" t="s">
        <v>77</v>
      </c>
      <c r="E6" s="5" t="s">
        <v>78</v>
      </c>
    </row>
    <row r="7" spans="1:5" ht="17.399999999999999" customHeight="1" x14ac:dyDescent="0.3">
      <c r="A7">
        <v>12</v>
      </c>
      <c r="B7" t="s">
        <v>85</v>
      </c>
      <c r="C7" t="s">
        <v>86</v>
      </c>
      <c r="D7" t="s">
        <v>80</v>
      </c>
      <c r="E7" t="s">
        <v>84</v>
      </c>
    </row>
    <row r="8" spans="1:5" ht="17.399999999999999" customHeight="1" x14ac:dyDescent="0.3">
      <c r="A8" s="1" t="s">
        <v>74</v>
      </c>
      <c r="B8" s="1" t="s">
        <v>75</v>
      </c>
      <c r="C8" s="1" t="s">
        <v>76</v>
      </c>
      <c r="D8" s="1" t="s">
        <v>77</v>
      </c>
      <c r="E8" s="6" t="s">
        <v>78</v>
      </c>
    </row>
    <row r="9" spans="1:5" ht="17.399999999999999" customHeight="1" x14ac:dyDescent="0.3">
      <c r="A9" s="2">
        <v>17</v>
      </c>
      <c r="B9" s="2" t="s">
        <v>4</v>
      </c>
      <c r="C9" s="2" t="s">
        <v>87</v>
      </c>
      <c r="D9" s="2" t="s">
        <v>88</v>
      </c>
      <c r="E9" s="2" t="s">
        <v>89</v>
      </c>
    </row>
    <row r="11" spans="1:5" ht="17.399999999999999" customHeight="1" x14ac:dyDescent="0.3">
      <c r="A11" s="1" t="s">
        <v>74</v>
      </c>
      <c r="B11" s="1" t="s">
        <v>75</v>
      </c>
      <c r="C11" s="1" t="s">
        <v>76</v>
      </c>
      <c r="D11" s="1" t="s">
        <v>77</v>
      </c>
      <c r="E11" s="6" t="s">
        <v>78</v>
      </c>
    </row>
    <row r="12" spans="1:5" ht="17.399999999999999" customHeight="1" x14ac:dyDescent="0.3">
      <c r="A12" s="2">
        <v>26</v>
      </c>
      <c r="B12" s="2" t="s">
        <v>6</v>
      </c>
      <c r="C12" s="2" t="s">
        <v>90</v>
      </c>
      <c r="D12" s="2" t="s">
        <v>91</v>
      </c>
      <c r="E12" s="2" t="s">
        <v>92</v>
      </c>
    </row>
    <row r="13" spans="1:5" ht="17.399999999999999" customHeight="1" x14ac:dyDescent="0.3">
      <c r="A13" s="1" t="s">
        <v>74</v>
      </c>
      <c r="B13" s="1" t="s">
        <v>75</v>
      </c>
      <c r="C13" s="1" t="s">
        <v>76</v>
      </c>
      <c r="D13" s="1" t="s">
        <v>77</v>
      </c>
      <c r="E13" s="6" t="s">
        <v>78</v>
      </c>
    </row>
    <row r="14" spans="1:5" ht="17.399999999999999" customHeight="1" x14ac:dyDescent="0.3">
      <c r="A14">
        <v>1</v>
      </c>
      <c r="B14" t="s">
        <v>5</v>
      </c>
      <c r="C14" t="s">
        <v>93</v>
      </c>
      <c r="D14" t="s">
        <v>91</v>
      </c>
      <c r="E14" t="s">
        <v>94</v>
      </c>
    </row>
    <row r="16" spans="1:5" ht="17.399999999999999" customHeight="1" x14ac:dyDescent="0.3">
      <c r="A16" s="1" t="s">
        <v>74</v>
      </c>
      <c r="B16" s="1" t="s">
        <v>75</v>
      </c>
      <c r="C16" s="1" t="s">
        <v>76</v>
      </c>
      <c r="D16" s="1" t="s">
        <v>77</v>
      </c>
      <c r="E16" s="6" t="s">
        <v>78</v>
      </c>
    </row>
    <row r="17" spans="1:5" ht="17.399999999999999" customHeight="1" x14ac:dyDescent="0.3">
      <c r="A17">
        <v>1</v>
      </c>
      <c r="B17" t="s">
        <v>3</v>
      </c>
      <c r="C17" s="2" t="s">
        <v>87</v>
      </c>
      <c r="D17" t="s">
        <v>95</v>
      </c>
      <c r="E17"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9659-0E97-4B4B-82C7-9C18E7370314}">
  <sheetPr codeName="Sheet3"/>
  <dimension ref="A1:F2"/>
  <sheetViews>
    <sheetView workbookViewId="0">
      <selection activeCell="E2" sqref="E2"/>
    </sheetView>
  </sheetViews>
  <sheetFormatPr defaultColWidth="19.44140625" defaultRowHeight="19.8" customHeight="1" x14ac:dyDescent="0.3"/>
  <cols>
    <col min="1" max="1" width="4" bestFit="1" customWidth="1"/>
    <col min="2" max="2" width="7.109375" bestFit="1" customWidth="1"/>
    <col min="3" max="4" width="11" bestFit="1" customWidth="1"/>
    <col min="5" max="5" width="20.44140625" bestFit="1" customWidth="1"/>
    <col min="6" max="6" width="10.6640625" bestFit="1" customWidth="1"/>
  </cols>
  <sheetData>
    <row r="1" spans="1:6" ht="25.2" customHeight="1" x14ac:dyDescent="0.3">
      <c r="A1" s="8" t="s">
        <v>2</v>
      </c>
      <c r="B1" s="8" t="s">
        <v>3</v>
      </c>
      <c r="C1" s="8" t="s">
        <v>4</v>
      </c>
      <c r="D1" s="8" t="s">
        <v>5</v>
      </c>
      <c r="E1" s="8" t="s">
        <v>6</v>
      </c>
      <c r="F1" s="9" t="s">
        <v>7</v>
      </c>
    </row>
    <row r="2" spans="1:6" ht="19.8" customHeight="1" x14ac:dyDescent="0.3">
      <c r="B2" t="s">
        <v>14</v>
      </c>
      <c r="C2" t="s">
        <v>11</v>
      </c>
    </row>
  </sheetData>
  <dataValidations count="3">
    <dataValidation type="whole" allowBlank="1" showInputMessage="1" showErrorMessage="1" sqref="A2" xr:uid="{8ABC4153-AD63-43CE-8E11-BCAA8046E092}">
      <formula1>16</formula1>
      <formula2>30</formula2>
    </dataValidation>
    <dataValidation type="whole" allowBlank="1" showInputMessage="1" showErrorMessage="1" sqref="D2" xr:uid="{881DCA71-F95D-40FD-9249-EE6E95D167A2}">
      <formula1>1</formula1>
      <formula2>12</formula2>
    </dataValidation>
    <dataValidation type="whole" allowBlank="1" showInputMessage="1" showErrorMessage="1" sqref="E2 F2" xr:uid="{7586969F-F2EA-4C1A-8EF7-ECE0E1975130}">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9138AB0-A08F-49F5-A54A-F6A1F716D44F}">
          <x14:formula1>
            <xm:f>Sheet1!$D$4:$D$5</xm:f>
          </x14:formula1>
          <xm:sqref>B2</xm:sqref>
        </x14:dataValidation>
        <x14:dataValidation type="list" allowBlank="1" showInputMessage="1" showErrorMessage="1" xr:uid="{7DF5D17B-98C4-4D27-B172-985CAB56DF33}">
          <x14:formula1>
            <xm:f>Sheet1!$E$2:$E$6</xm:f>
          </x14:formula1>
          <xm:sqref>C2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A610-607C-4873-9B61-2C159B5116BC}">
  <sheetPr codeName="Sheet7"/>
  <dimension ref="A1:I2"/>
  <sheetViews>
    <sheetView workbookViewId="0">
      <selection activeCell="E2" sqref="E2"/>
    </sheetView>
  </sheetViews>
  <sheetFormatPr defaultRowHeight="14.4" x14ac:dyDescent="0.3"/>
  <cols>
    <col min="1" max="1" width="27.5546875" bestFit="1" customWidth="1"/>
    <col min="2" max="2" width="10.77734375" bestFit="1" customWidth="1"/>
    <col min="3" max="3" width="17.5546875" bestFit="1" customWidth="1"/>
    <col min="4" max="4" width="27.44140625" bestFit="1" customWidth="1"/>
    <col min="5" max="5" width="17.5546875" bestFit="1" customWidth="1"/>
    <col min="6" max="6" width="17.33203125" bestFit="1" customWidth="1"/>
    <col min="7" max="7" width="16.6640625" bestFit="1" customWidth="1"/>
    <col min="8" max="8" width="26.33203125" bestFit="1" customWidth="1"/>
    <col min="9" max="9" width="27.88671875" bestFit="1" customWidth="1"/>
    <col min="12" max="12" width="4.77734375" bestFit="1" customWidth="1"/>
  </cols>
  <sheetData>
    <row r="1" spans="1:9" x14ac:dyDescent="0.3">
      <c r="A1" s="17" t="s">
        <v>97</v>
      </c>
      <c r="B1" s="17" t="s">
        <v>98</v>
      </c>
      <c r="C1" s="17" t="s">
        <v>99</v>
      </c>
      <c r="D1" s="17" t="s">
        <v>100</v>
      </c>
      <c r="E1" s="17" t="s">
        <v>101</v>
      </c>
      <c r="F1" s="17" t="s">
        <v>102</v>
      </c>
      <c r="G1" s="17" t="s">
        <v>103</v>
      </c>
      <c r="H1" s="17" t="s">
        <v>104</v>
      </c>
      <c r="I1" s="17" t="s">
        <v>105</v>
      </c>
    </row>
    <row r="2" spans="1:9" x14ac:dyDescent="0.3">
      <c r="A2">
        <f>COUNTA(Table1[Student ID])</f>
        <v>30</v>
      </c>
      <c r="B2" s="18">
        <f>AVERAGE(Table1[Age])</f>
        <v>20.586206896551722</v>
      </c>
      <c r="C2" s="21">
        <f>AVERAGE(Table1[Study Hours])</f>
        <v>5.2333333333333334</v>
      </c>
      <c r="D2" s="30">
        <f>AVERAGE(Table1[Attendance Percentage])</f>
        <v>0.8663333333333334</v>
      </c>
      <c r="E2" s="21">
        <f>AVERAGE(Table1[Exam Score])</f>
        <v>77.517241379310349</v>
      </c>
      <c r="F2">
        <f>MAX(Table1[Exam Score])</f>
        <v>98</v>
      </c>
      <c r="G2">
        <f>MIN(Table1[Exam Score])</f>
        <v>45</v>
      </c>
      <c r="H2">
        <f>COUNTIF(Table1[Gender],Sheet1!D17)</f>
        <v>15</v>
      </c>
      <c r="I2">
        <f>COUNTIF(Table1[Gender],Sheet1!D19)</f>
        <v>15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4BB3-44D1-4BED-A7E7-EE323291A9E7}">
  <sheetPr codeName="Sheet8"/>
  <dimension ref="A1:H14"/>
  <sheetViews>
    <sheetView workbookViewId="0">
      <selection activeCell="F5" sqref="F5"/>
    </sheetView>
  </sheetViews>
  <sheetFormatPr defaultColWidth="18.88671875" defaultRowHeight="14.4" x14ac:dyDescent="0.3"/>
  <cols>
    <col min="2" max="2" width="99.88671875" customWidth="1"/>
  </cols>
  <sheetData>
    <row r="1" spans="1:8" ht="31.8" customHeight="1" x14ac:dyDescent="0.35">
      <c r="A1" s="27" t="s">
        <v>113</v>
      </c>
      <c r="B1" s="28" t="s">
        <v>119</v>
      </c>
      <c r="C1" s="25"/>
      <c r="D1" s="25"/>
      <c r="E1" s="25"/>
      <c r="F1" s="25"/>
      <c r="G1" s="25"/>
      <c r="H1" s="25"/>
    </row>
    <row r="2" spans="1:8" ht="31.8" customHeight="1" x14ac:dyDescent="0.35">
      <c r="A2" s="27" t="s">
        <v>112</v>
      </c>
      <c r="B2" s="28" t="s">
        <v>120</v>
      </c>
    </row>
    <row r="3" spans="1:8" ht="31.8" customHeight="1" x14ac:dyDescent="0.35">
      <c r="A3" s="27" t="s">
        <v>114</v>
      </c>
      <c r="B3" s="28" t="s">
        <v>121</v>
      </c>
    </row>
    <row r="4" spans="1:8" ht="31.8" customHeight="1" x14ac:dyDescent="0.35">
      <c r="A4" s="27" t="s">
        <v>115</v>
      </c>
      <c r="B4" s="28" t="s">
        <v>122</v>
      </c>
    </row>
    <row r="5" spans="1:8" ht="31.8" customHeight="1" x14ac:dyDescent="0.35">
      <c r="A5" s="27" t="s">
        <v>116</v>
      </c>
      <c r="B5" s="28" t="s">
        <v>123</v>
      </c>
    </row>
    <row r="6" spans="1:8" ht="31.8" customHeight="1" x14ac:dyDescent="0.35">
      <c r="A6" s="27" t="s">
        <v>117</v>
      </c>
      <c r="B6" s="28" t="s">
        <v>124</v>
      </c>
    </row>
    <row r="7" spans="1:8" ht="31.8" customHeight="1" x14ac:dyDescent="0.35">
      <c r="A7" s="27" t="s">
        <v>118</v>
      </c>
      <c r="B7" s="28" t="s">
        <v>125</v>
      </c>
    </row>
    <row r="8" spans="1:8" ht="18" x14ac:dyDescent="0.35">
      <c r="A8" s="25"/>
    </row>
    <row r="9" spans="1:8" ht="18" x14ac:dyDescent="0.35">
      <c r="A9" s="25"/>
    </row>
    <row r="10" spans="1:8" ht="18" x14ac:dyDescent="0.35">
      <c r="A10" s="25"/>
    </row>
    <row r="11" spans="1:8" ht="18" x14ac:dyDescent="0.35">
      <c r="A11" s="25"/>
    </row>
    <row r="12" spans="1:8" ht="18" x14ac:dyDescent="0.35">
      <c r="A12" s="25"/>
    </row>
    <row r="13" spans="1:8" ht="18" x14ac:dyDescent="0.35">
      <c r="A13" s="25"/>
    </row>
    <row r="14" spans="1:8" ht="18" x14ac:dyDescent="0.35">
      <c r="A14" s="25"/>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BC6EF-24F8-4195-A2DB-BDEA3FF40A60}">
  <sheetPr codeName="Sheet5"/>
  <dimension ref="A2:G32"/>
  <sheetViews>
    <sheetView workbookViewId="0">
      <selection activeCell="G3" sqref="G3"/>
    </sheetView>
  </sheetViews>
  <sheetFormatPr defaultColWidth="20.33203125" defaultRowHeight="14.4" x14ac:dyDescent="0.3"/>
  <cols>
    <col min="7" max="7" width="50.6640625" customWidth="1"/>
  </cols>
  <sheetData>
    <row r="2" spans="1:7" ht="18" x14ac:dyDescent="0.35">
      <c r="A2" s="25" t="s">
        <v>113</v>
      </c>
      <c r="D2" s="26" t="s">
        <v>112</v>
      </c>
    </row>
    <row r="3" spans="1:7" x14ac:dyDescent="0.3">
      <c r="A3" s="19" t="s">
        <v>106</v>
      </c>
      <c r="B3" t="s">
        <v>108</v>
      </c>
      <c r="D3" s="19" t="s">
        <v>106</v>
      </c>
      <c r="E3" t="s">
        <v>108</v>
      </c>
      <c r="G3" t="s">
        <v>109</v>
      </c>
    </row>
    <row r="4" spans="1:7" x14ac:dyDescent="0.3">
      <c r="A4" s="20" t="s">
        <v>18</v>
      </c>
      <c r="B4" s="21">
        <v>85</v>
      </c>
      <c r="D4" s="20" t="s">
        <v>18</v>
      </c>
      <c r="E4" s="21">
        <v>85</v>
      </c>
      <c r="G4">
        <f>COUNTIF(Table1[Exam Score],"&gt;=70")</f>
        <v>24</v>
      </c>
    </row>
    <row r="5" spans="1:7" x14ac:dyDescent="0.3">
      <c r="A5" s="20" t="s">
        <v>15</v>
      </c>
      <c r="B5" s="21">
        <v>76.888888888888886</v>
      </c>
      <c r="D5" s="20" t="s">
        <v>15</v>
      </c>
      <c r="E5" s="21">
        <v>76.888888888888886</v>
      </c>
    </row>
    <row r="6" spans="1:7" x14ac:dyDescent="0.3">
      <c r="A6" s="20" t="s">
        <v>11</v>
      </c>
      <c r="B6" s="21">
        <v>70.599999999999994</v>
      </c>
      <c r="D6" s="20" t="s">
        <v>11</v>
      </c>
      <c r="E6" s="21">
        <v>70.599999999999994</v>
      </c>
      <c r="G6" s="24" t="s">
        <v>110</v>
      </c>
    </row>
    <row r="7" spans="1:7" x14ac:dyDescent="0.3">
      <c r="A7" s="20" t="s">
        <v>107</v>
      </c>
      <c r="B7" s="21">
        <v>77.517241379310349</v>
      </c>
      <c r="D7" s="20" t="s">
        <v>107</v>
      </c>
      <c r="E7" s="21">
        <v>77.517241379310349</v>
      </c>
      <c r="G7">
        <f>+COUNTIF(Table1[Exam Score],"&lt;=50")</f>
        <v>1</v>
      </c>
    </row>
    <row r="8" spans="1:7" ht="18" x14ac:dyDescent="0.35">
      <c r="A8" s="25" t="s">
        <v>114</v>
      </c>
      <c r="D8" s="26" t="s">
        <v>115</v>
      </c>
      <c r="E8" s="21"/>
    </row>
    <row r="9" spans="1:7" x14ac:dyDescent="0.3">
      <c r="A9" s="22" t="s">
        <v>106</v>
      </c>
      <c r="B9" s="21" t="s">
        <v>108</v>
      </c>
      <c r="D9" s="22" t="s">
        <v>106</v>
      </c>
      <c r="E9" s="21" t="s">
        <v>108</v>
      </c>
    </row>
    <row r="10" spans="1:7" x14ac:dyDescent="0.3">
      <c r="A10" s="23" t="s">
        <v>14</v>
      </c>
      <c r="B10" s="21">
        <v>83.2</v>
      </c>
      <c r="D10" s="23" t="s">
        <v>14</v>
      </c>
      <c r="E10" s="21">
        <v>83.2</v>
      </c>
    </row>
    <row r="11" spans="1:7" x14ac:dyDescent="0.3">
      <c r="A11" s="23" t="s">
        <v>10</v>
      </c>
      <c r="B11" s="21">
        <v>71.428571428571431</v>
      </c>
      <c r="D11" s="23" t="s">
        <v>10</v>
      </c>
      <c r="E11" s="21">
        <v>71.428571428571431</v>
      </c>
    </row>
    <row r="12" spans="1:7" x14ac:dyDescent="0.3">
      <c r="A12" s="23" t="s">
        <v>107</v>
      </c>
      <c r="B12" s="21">
        <v>77.517241379310349</v>
      </c>
      <c r="D12" s="23" t="s">
        <v>107</v>
      </c>
      <c r="E12" s="21">
        <v>77.517241379310349</v>
      </c>
    </row>
    <row r="13" spans="1:7" x14ac:dyDescent="0.3">
      <c r="A13" s="21"/>
      <c r="B13" s="21"/>
    </row>
    <row r="14" spans="1:7" ht="18" x14ac:dyDescent="0.35">
      <c r="A14" s="26" t="s">
        <v>116</v>
      </c>
      <c r="E14" s="26" t="s">
        <v>118</v>
      </c>
    </row>
    <row r="15" spans="1:7" x14ac:dyDescent="0.3">
      <c r="A15" s="19" t="s">
        <v>106</v>
      </c>
      <c r="B15" t="s">
        <v>108</v>
      </c>
      <c r="C15" t="s">
        <v>111</v>
      </c>
      <c r="E15" s="19" t="s">
        <v>106</v>
      </c>
      <c r="F15" t="s">
        <v>111</v>
      </c>
    </row>
    <row r="16" spans="1:7" x14ac:dyDescent="0.3">
      <c r="A16" s="20" t="s">
        <v>18</v>
      </c>
      <c r="B16" s="21">
        <v>85</v>
      </c>
      <c r="C16" s="21">
        <v>10</v>
      </c>
      <c r="E16" s="20" t="s">
        <v>14</v>
      </c>
      <c r="F16">
        <v>15</v>
      </c>
    </row>
    <row r="17" spans="1:6" x14ac:dyDescent="0.3">
      <c r="A17" s="20" t="s">
        <v>15</v>
      </c>
      <c r="B17" s="21">
        <v>76.888888888888886</v>
      </c>
      <c r="C17" s="21">
        <v>10</v>
      </c>
      <c r="E17" s="20" t="s">
        <v>10</v>
      </c>
      <c r="F17">
        <v>15</v>
      </c>
    </row>
    <row r="18" spans="1:6" x14ac:dyDescent="0.3">
      <c r="A18" s="20" t="s">
        <v>11</v>
      </c>
      <c r="B18" s="21">
        <v>70.599999999999994</v>
      </c>
      <c r="C18" s="21">
        <v>10</v>
      </c>
      <c r="E18" s="20" t="s">
        <v>107</v>
      </c>
      <c r="F18">
        <v>30</v>
      </c>
    </row>
    <row r="19" spans="1:6" x14ac:dyDescent="0.3">
      <c r="A19" s="20" t="s">
        <v>107</v>
      </c>
      <c r="B19" s="21">
        <v>77.517241379310349</v>
      </c>
      <c r="C19" s="21">
        <v>30</v>
      </c>
    </row>
    <row r="20" spans="1:6" ht="18" x14ac:dyDescent="0.35">
      <c r="A20" s="26" t="s">
        <v>117</v>
      </c>
    </row>
    <row r="21" spans="1:6" x14ac:dyDescent="0.3">
      <c r="A21" s="19" t="s">
        <v>106</v>
      </c>
      <c r="B21" t="s">
        <v>108</v>
      </c>
      <c r="C21" t="s">
        <v>111</v>
      </c>
    </row>
    <row r="22" spans="1:6" x14ac:dyDescent="0.3">
      <c r="A22" s="20">
        <v>-2</v>
      </c>
      <c r="B22">
        <v>79</v>
      </c>
      <c r="C22">
        <v>1</v>
      </c>
    </row>
    <row r="23" spans="1:6" x14ac:dyDescent="0.3">
      <c r="A23" s="20">
        <v>2</v>
      </c>
      <c r="B23">
        <v>48.5</v>
      </c>
      <c r="C23">
        <v>2</v>
      </c>
    </row>
    <row r="24" spans="1:6" x14ac:dyDescent="0.3">
      <c r="A24" s="20">
        <v>3</v>
      </c>
      <c r="B24">
        <v>62.5</v>
      </c>
      <c r="C24">
        <v>3</v>
      </c>
    </row>
    <row r="25" spans="1:6" x14ac:dyDescent="0.3">
      <c r="A25" s="20">
        <v>4</v>
      </c>
      <c r="B25">
        <v>71</v>
      </c>
      <c r="C25">
        <v>5</v>
      </c>
    </row>
    <row r="26" spans="1:6" x14ac:dyDescent="0.3">
      <c r="A26" s="20">
        <v>5</v>
      </c>
      <c r="B26">
        <v>75</v>
      </c>
      <c r="C26">
        <v>5</v>
      </c>
    </row>
    <row r="27" spans="1:6" x14ac:dyDescent="0.3">
      <c r="A27" s="20">
        <v>6</v>
      </c>
      <c r="B27">
        <v>82.4</v>
      </c>
      <c r="C27">
        <v>5</v>
      </c>
    </row>
    <row r="28" spans="1:6" x14ac:dyDescent="0.3">
      <c r="A28" s="20">
        <v>7</v>
      </c>
      <c r="B28">
        <v>84.75</v>
      </c>
      <c r="C28">
        <v>4</v>
      </c>
    </row>
    <row r="29" spans="1:6" x14ac:dyDescent="0.3">
      <c r="A29" s="20">
        <v>8</v>
      </c>
      <c r="B29">
        <v>91</v>
      </c>
      <c r="C29">
        <v>3</v>
      </c>
    </row>
    <row r="30" spans="1:6" x14ac:dyDescent="0.3">
      <c r="A30" s="20">
        <v>9</v>
      </c>
      <c r="B30">
        <v>95</v>
      </c>
      <c r="C30">
        <v>1</v>
      </c>
    </row>
    <row r="31" spans="1:6" x14ac:dyDescent="0.3">
      <c r="A31" s="20">
        <v>10</v>
      </c>
      <c r="B31">
        <v>98</v>
      </c>
      <c r="C31">
        <v>1</v>
      </c>
    </row>
    <row r="32" spans="1:6" x14ac:dyDescent="0.3">
      <c r="A32" s="20" t="s">
        <v>107</v>
      </c>
      <c r="B32">
        <v>77.517241379310349</v>
      </c>
      <c r="C32">
        <v>30</v>
      </c>
    </row>
  </sheetData>
  <conditionalFormatting pivot="1" sqref="B4:B6">
    <cfRule type="colorScale" priority="8">
      <colorScale>
        <cfvo type="min"/>
        <cfvo type="percentile" val="50"/>
        <cfvo type="max"/>
        <color rgb="FFF8696B"/>
        <color rgb="FFFFEB84"/>
        <color rgb="FF63BE7B"/>
      </colorScale>
    </cfRule>
  </conditionalFormatting>
  <conditionalFormatting pivot="1" sqref="E4:E6">
    <cfRule type="colorScale" priority="7">
      <colorScale>
        <cfvo type="min"/>
        <cfvo type="percentile" val="50"/>
        <cfvo type="max"/>
        <color rgb="FFF8696B"/>
        <color rgb="FFFFEB84"/>
        <color rgb="FF63BE7B"/>
      </colorScale>
    </cfRule>
  </conditionalFormatting>
  <conditionalFormatting pivot="1" sqref="B10:B12">
    <cfRule type="cellIs" dxfId="25" priority="6" operator="lessThan">
      <formula>72</formula>
    </cfRule>
  </conditionalFormatting>
  <conditionalFormatting pivot="1" sqref="E12">
    <cfRule type="cellIs" dxfId="24" priority="5" operator="lessThan">
      <formula>72</formula>
    </cfRule>
  </conditionalFormatting>
  <conditionalFormatting pivot="1" sqref="E11">
    <cfRule type="cellIs" dxfId="23" priority="4" operator="equal">
      <formula>83</formula>
    </cfRule>
  </conditionalFormatting>
  <conditionalFormatting pivot="1" sqref="E10">
    <cfRule type="cellIs" dxfId="22" priority="1" operator="greaterThan">
      <formula>80</formula>
    </cfRule>
  </conditionalFormatting>
  <pageMargins left="0.7" right="0.7" top="0.75" bottom="0.75" header="0.3" footer="0.3"/>
  <pageSetup paperSize="9" orientation="portrait" r:id="rId8"/>
  <tableParts count="2">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119A-2CFC-438E-B934-059E28982BDC}">
  <sheetPr codeName="Sheet4"/>
  <dimension ref="A1:H31"/>
  <sheetViews>
    <sheetView workbookViewId="0">
      <selection activeCell="N10" sqref="N10"/>
    </sheetView>
  </sheetViews>
  <sheetFormatPr defaultColWidth="9.6640625" defaultRowHeight="14.4" x14ac:dyDescent="0.3"/>
  <cols>
    <col min="1" max="1" width="7.109375" bestFit="1" customWidth="1"/>
    <col min="2" max="2" width="14.77734375" customWidth="1"/>
    <col min="3" max="3" width="3" bestFit="1" customWidth="1"/>
    <col min="4" max="4" width="7" bestFit="1" customWidth="1"/>
    <col min="5" max="6" width="11" bestFit="1" customWidth="1"/>
    <col min="7" max="7" width="20.44140625" bestFit="1" customWidth="1"/>
    <col min="8" max="8" width="10.6640625" bestFit="1" customWidth="1"/>
    <col min="12" max="12" width="13.88671875" bestFit="1" customWidth="1"/>
    <col min="14" max="14" width="4.77734375" bestFit="1" customWidth="1"/>
  </cols>
  <sheetData>
    <row r="1" spans="1:8" x14ac:dyDescent="0.3">
      <c r="A1" s="1"/>
      <c r="B1" s="1"/>
      <c r="C1" s="1"/>
      <c r="D1" s="1"/>
      <c r="E1" s="1" t="s">
        <v>4</v>
      </c>
      <c r="F1" s="1" t="s">
        <v>5</v>
      </c>
      <c r="G1" s="1" t="s">
        <v>6</v>
      </c>
      <c r="H1" s="1" t="s">
        <v>7</v>
      </c>
    </row>
    <row r="2" spans="1:8" x14ac:dyDescent="0.3">
      <c r="A2" s="2" t="s">
        <v>8</v>
      </c>
      <c r="B2" s="2" t="s">
        <v>9</v>
      </c>
      <c r="C2" s="2">
        <v>19</v>
      </c>
      <c r="D2" s="2" t="s">
        <v>10</v>
      </c>
      <c r="E2" s="2" t="s">
        <v>11</v>
      </c>
      <c r="F2" s="2">
        <v>4</v>
      </c>
      <c r="G2" s="3">
        <v>0.85</v>
      </c>
      <c r="H2" s="2">
        <v>72</v>
      </c>
    </row>
    <row r="3" spans="1:8" x14ac:dyDescent="0.3">
      <c r="A3" s="2" t="s">
        <v>12</v>
      </c>
      <c r="B3" s="2" t="s">
        <v>13</v>
      </c>
      <c r="C3" s="2">
        <v>20</v>
      </c>
      <c r="D3" s="2" t="s">
        <v>14</v>
      </c>
      <c r="E3" s="2" t="s">
        <v>15</v>
      </c>
      <c r="F3" s="2">
        <v>6</v>
      </c>
      <c r="G3" s="3">
        <v>0.92</v>
      </c>
      <c r="H3" s="2">
        <v>88</v>
      </c>
    </row>
    <row r="4" spans="1:8" ht="28.8" x14ac:dyDescent="0.3">
      <c r="A4" s="2" t="s">
        <v>16</v>
      </c>
      <c r="B4" s="2" t="s">
        <v>17</v>
      </c>
      <c r="C4" s="2">
        <v>21</v>
      </c>
      <c r="D4" s="2" t="s">
        <v>10</v>
      </c>
      <c r="E4" s="2" t="s">
        <v>18</v>
      </c>
      <c r="F4" s="2">
        <v>8</v>
      </c>
      <c r="G4" s="3">
        <v>0.96</v>
      </c>
      <c r="H4" s="2">
        <v>91</v>
      </c>
    </row>
    <row r="5" spans="1:8" x14ac:dyDescent="0.3">
      <c r="A5" s="2" t="s">
        <v>19</v>
      </c>
      <c r="B5" s="2" t="s">
        <v>20</v>
      </c>
      <c r="C5" s="2">
        <v>18</v>
      </c>
      <c r="D5" s="2" t="s">
        <v>14</v>
      </c>
      <c r="E5" s="2" t="s">
        <v>11</v>
      </c>
      <c r="F5" s="2">
        <v>3</v>
      </c>
      <c r="G5" s="3">
        <v>0.78</v>
      </c>
      <c r="H5" s="2">
        <v>64</v>
      </c>
    </row>
    <row r="6" spans="1:8" x14ac:dyDescent="0.3">
      <c r="A6" s="2" t="s">
        <v>21</v>
      </c>
      <c r="B6" s="2" t="s">
        <v>22</v>
      </c>
      <c r="C6" s="2">
        <v>22</v>
      </c>
      <c r="D6" s="2" t="s">
        <v>10</v>
      </c>
      <c r="E6" s="2" t="s">
        <v>15</v>
      </c>
      <c r="F6" s="2">
        <v>5</v>
      </c>
      <c r="G6" s="3">
        <v>0.88</v>
      </c>
      <c r="H6" s="2">
        <v>76</v>
      </c>
    </row>
    <row r="7" spans="1:8" ht="28.8" x14ac:dyDescent="0.3">
      <c r="A7" s="2" t="s">
        <v>23</v>
      </c>
      <c r="B7" s="2" t="s">
        <v>24</v>
      </c>
      <c r="C7" s="2">
        <v>20</v>
      </c>
      <c r="D7" s="2" t="s">
        <v>14</v>
      </c>
      <c r="E7" s="2" t="s">
        <v>18</v>
      </c>
      <c r="F7" s="2">
        <v>7</v>
      </c>
      <c r="G7" s="3">
        <v>0.94</v>
      </c>
      <c r="H7" s="2">
        <v>85</v>
      </c>
    </row>
    <row r="8" spans="1:8" x14ac:dyDescent="0.3">
      <c r="A8" s="2" t="s">
        <v>25</v>
      </c>
      <c r="B8" s="2" t="s">
        <v>26</v>
      </c>
      <c r="C8" s="2">
        <v>23</v>
      </c>
      <c r="D8" s="2" t="s">
        <v>10</v>
      </c>
      <c r="E8" s="2" t="s">
        <v>11</v>
      </c>
      <c r="F8" s="2">
        <v>2</v>
      </c>
      <c r="G8" s="3">
        <v>0.65</v>
      </c>
      <c r="H8" s="2">
        <v>52</v>
      </c>
    </row>
    <row r="9" spans="1:8" x14ac:dyDescent="0.3">
      <c r="A9" s="2" t="s">
        <v>27</v>
      </c>
      <c r="B9" s="2" t="s">
        <v>28</v>
      </c>
      <c r="C9" s="2">
        <v>19</v>
      </c>
      <c r="D9" s="2" t="s">
        <v>14</v>
      </c>
      <c r="E9" s="2" t="s">
        <v>15</v>
      </c>
      <c r="F9" s="2">
        <v>5</v>
      </c>
      <c r="G9" s="3">
        <v>0.89</v>
      </c>
      <c r="H9" s="2">
        <v>79</v>
      </c>
    </row>
    <row r="10" spans="1:8" ht="28.8" x14ac:dyDescent="0.3">
      <c r="A10" s="2" t="s">
        <v>29</v>
      </c>
      <c r="B10" s="2" t="s">
        <v>30</v>
      </c>
      <c r="C10" s="2">
        <v>21</v>
      </c>
      <c r="D10" s="2" t="s">
        <v>10</v>
      </c>
      <c r="E10" s="2" t="s">
        <v>18</v>
      </c>
      <c r="F10" s="2"/>
      <c r="G10" s="3">
        <v>0.98</v>
      </c>
      <c r="H10" s="2">
        <v>95</v>
      </c>
    </row>
    <row r="11" spans="1:8" x14ac:dyDescent="0.3">
      <c r="A11" s="2" t="s">
        <v>31</v>
      </c>
      <c r="B11" s="2" t="s">
        <v>32</v>
      </c>
      <c r="C11" s="2">
        <v>20</v>
      </c>
      <c r="D11" s="2" t="s">
        <v>14</v>
      </c>
      <c r="E11" s="2" t="s">
        <v>11</v>
      </c>
      <c r="F11" s="2">
        <v>6</v>
      </c>
      <c r="G11" s="3">
        <v>0.9</v>
      </c>
      <c r="H11" s="2">
        <v>81</v>
      </c>
    </row>
    <row r="12" spans="1:8" x14ac:dyDescent="0.3">
      <c r="A12" s="2" t="s">
        <v>33</v>
      </c>
      <c r="B12" s="2" t="s">
        <v>34</v>
      </c>
      <c r="C12" s="2">
        <v>24</v>
      </c>
      <c r="D12" s="2" t="s">
        <v>10</v>
      </c>
      <c r="E12" s="2" t="s">
        <v>15</v>
      </c>
      <c r="F12" s="2">
        <v>3</v>
      </c>
      <c r="G12" s="3">
        <v>0.72</v>
      </c>
      <c r="H12" s="2">
        <v>61</v>
      </c>
    </row>
    <row r="13" spans="1:8" ht="28.8" x14ac:dyDescent="0.3">
      <c r="A13" s="2" t="s">
        <v>35</v>
      </c>
      <c r="B13" s="2" t="s">
        <v>36</v>
      </c>
      <c r="C13" s="2">
        <v>19</v>
      </c>
      <c r="D13" s="2" t="s">
        <v>14</v>
      </c>
      <c r="E13" s="2" t="s">
        <v>18</v>
      </c>
      <c r="F13" s="2">
        <v>7</v>
      </c>
      <c r="H13" s="2">
        <v>87</v>
      </c>
    </row>
    <row r="14" spans="1:8" x14ac:dyDescent="0.3">
      <c r="A14" s="2" t="s">
        <v>37</v>
      </c>
      <c r="B14" s="2" t="s">
        <v>38</v>
      </c>
      <c r="C14" s="2">
        <v>22</v>
      </c>
      <c r="D14" s="2" t="s">
        <v>10</v>
      </c>
      <c r="E14" s="2" t="s">
        <v>11</v>
      </c>
      <c r="F14" s="2">
        <v>4</v>
      </c>
      <c r="G14" s="3">
        <v>0.81</v>
      </c>
      <c r="H14" s="2">
        <v>70</v>
      </c>
    </row>
    <row r="15" spans="1:8" ht="28.8" x14ac:dyDescent="0.3">
      <c r="A15" s="2" t="s">
        <v>39</v>
      </c>
      <c r="B15" s="2" t="s">
        <v>40</v>
      </c>
      <c r="C15" s="2">
        <v>18</v>
      </c>
      <c r="D15" s="2" t="s">
        <v>14</v>
      </c>
      <c r="E15" s="2" t="s">
        <v>15</v>
      </c>
      <c r="F15" s="2">
        <v>6</v>
      </c>
      <c r="G15" s="3">
        <v>0.95</v>
      </c>
      <c r="H15" s="2">
        <v>86</v>
      </c>
    </row>
    <row r="16" spans="1:8" ht="28.8" x14ac:dyDescent="0.3">
      <c r="A16" s="2" t="s">
        <v>41</v>
      </c>
      <c r="B16" s="2" t="s">
        <v>42</v>
      </c>
      <c r="C16" s="2">
        <v>21</v>
      </c>
      <c r="D16" s="2" t="s">
        <v>10</v>
      </c>
      <c r="E16" s="2" t="s">
        <v>18</v>
      </c>
      <c r="F16" s="2">
        <v>5</v>
      </c>
      <c r="G16" s="3">
        <v>0.84</v>
      </c>
      <c r="H16" s="2">
        <v>74</v>
      </c>
    </row>
    <row r="17" spans="1:8" x14ac:dyDescent="0.3">
      <c r="A17" s="2" t="s">
        <v>43</v>
      </c>
      <c r="B17" s="2" t="s">
        <v>44</v>
      </c>
      <c r="C17" s="2">
        <v>20</v>
      </c>
      <c r="D17" s="2" t="s">
        <v>14</v>
      </c>
      <c r="E17" s="2" t="s">
        <v>11</v>
      </c>
      <c r="F17" s="2">
        <v>8</v>
      </c>
      <c r="G17" s="3">
        <v>0.97</v>
      </c>
      <c r="H17" s="2">
        <v>92</v>
      </c>
    </row>
    <row r="18" spans="1:8" x14ac:dyDescent="0.3">
      <c r="A18" s="2" t="s">
        <v>45</v>
      </c>
      <c r="B18" s="2" t="s">
        <v>46</v>
      </c>
      <c r="C18" s="2">
        <v>19</v>
      </c>
      <c r="D18" s="2" t="s">
        <v>10</v>
      </c>
      <c r="E18" s="2" t="s">
        <v>15</v>
      </c>
      <c r="F18" s="2">
        <v>4</v>
      </c>
      <c r="G18" s="3">
        <v>0.86</v>
      </c>
      <c r="H18" s="2">
        <v>73</v>
      </c>
    </row>
    <row r="19" spans="1:8" ht="28.8" x14ac:dyDescent="0.3">
      <c r="A19" s="2" t="s">
        <v>47</v>
      </c>
      <c r="B19" s="2" t="s">
        <v>48</v>
      </c>
      <c r="C19" s="2">
        <v>22</v>
      </c>
      <c r="D19" s="2" t="s">
        <v>14</v>
      </c>
      <c r="E19" s="2" t="s">
        <v>18</v>
      </c>
      <c r="F19" s="2">
        <v>10</v>
      </c>
      <c r="G19" s="3">
        <v>0.99</v>
      </c>
      <c r="H19" s="2">
        <v>98</v>
      </c>
    </row>
    <row r="20" spans="1:8" x14ac:dyDescent="0.3">
      <c r="A20" s="2" t="s">
        <v>49</v>
      </c>
      <c r="B20" s="2" t="s">
        <v>50</v>
      </c>
      <c r="C20" s="2">
        <v>25</v>
      </c>
      <c r="D20" s="2" t="s">
        <v>10</v>
      </c>
      <c r="E20" s="2" t="s">
        <v>11</v>
      </c>
      <c r="F20" s="2">
        <v>2</v>
      </c>
      <c r="G20" s="3">
        <v>0.57999999999999996</v>
      </c>
      <c r="H20" s="2">
        <v>45</v>
      </c>
    </row>
    <row r="21" spans="1:8" x14ac:dyDescent="0.3">
      <c r="A21" s="2" t="s">
        <v>51</v>
      </c>
      <c r="B21" s="2" t="s">
        <v>52</v>
      </c>
      <c r="C21" s="2">
        <v>20</v>
      </c>
      <c r="D21" s="2" t="s">
        <v>14</v>
      </c>
      <c r="E21" s="2" t="s">
        <v>15</v>
      </c>
      <c r="F21" s="2">
        <v>7</v>
      </c>
      <c r="G21" s="3">
        <v>0.91</v>
      </c>
      <c r="H21" s="2">
        <v>84</v>
      </c>
    </row>
    <row r="22" spans="1:8" ht="28.8" x14ac:dyDescent="0.3">
      <c r="A22" s="2" t="s">
        <v>53</v>
      </c>
      <c r="B22" s="2" t="s">
        <v>54</v>
      </c>
      <c r="C22" s="2">
        <v>21</v>
      </c>
      <c r="D22" s="2" t="s">
        <v>10</v>
      </c>
      <c r="E22" s="2" t="s">
        <v>18</v>
      </c>
      <c r="F22" s="2">
        <v>6</v>
      </c>
      <c r="G22" s="3">
        <v>0.87</v>
      </c>
      <c r="H22" s="2">
        <v>80</v>
      </c>
    </row>
    <row r="23" spans="1:8" x14ac:dyDescent="0.3">
      <c r="A23" s="2" t="s">
        <v>55</v>
      </c>
      <c r="B23" s="2" t="s">
        <v>56</v>
      </c>
      <c r="C23" s="2">
        <v>19</v>
      </c>
      <c r="D23" s="2" t="s">
        <v>14</v>
      </c>
      <c r="E23" s="2" t="s">
        <v>11</v>
      </c>
      <c r="F23" s="2">
        <v>5</v>
      </c>
      <c r="G23" s="3">
        <v>0.83</v>
      </c>
      <c r="H23" s="2">
        <v>75</v>
      </c>
    </row>
    <row r="24" spans="1:8" x14ac:dyDescent="0.3">
      <c r="A24" s="2" t="s">
        <v>57</v>
      </c>
      <c r="B24" s="2" t="s">
        <v>58</v>
      </c>
      <c r="C24" s="2">
        <v>22</v>
      </c>
      <c r="D24" s="2" t="s">
        <v>10</v>
      </c>
      <c r="E24" s="2" t="s">
        <v>15</v>
      </c>
      <c r="F24" s="2">
        <v>4</v>
      </c>
      <c r="G24" s="3">
        <v>0.79</v>
      </c>
      <c r="H24" s="2">
        <v>68</v>
      </c>
    </row>
    <row r="25" spans="1:8" ht="28.8" x14ac:dyDescent="0.3">
      <c r="A25" s="2" t="s">
        <v>59</v>
      </c>
      <c r="B25" s="2" t="s">
        <v>60</v>
      </c>
      <c r="C25" s="2">
        <v>20</v>
      </c>
      <c r="D25" s="2" t="s">
        <v>14</v>
      </c>
      <c r="E25" s="2" t="s">
        <v>18</v>
      </c>
      <c r="F25" s="2">
        <v>8</v>
      </c>
      <c r="G25" s="3">
        <v>0.96</v>
      </c>
      <c r="H25" s="2">
        <v>90</v>
      </c>
    </row>
    <row r="26" spans="1:8" x14ac:dyDescent="0.3">
      <c r="A26" s="2" t="s">
        <v>61</v>
      </c>
      <c r="B26" s="2" t="s">
        <v>9</v>
      </c>
      <c r="C26" s="2">
        <v>19</v>
      </c>
      <c r="D26" s="2" t="s">
        <v>10</v>
      </c>
      <c r="E26" s="2" t="s">
        <v>11</v>
      </c>
      <c r="F26" s="2">
        <v>4</v>
      </c>
      <c r="G26" s="3">
        <v>0.85</v>
      </c>
      <c r="H26" s="2">
        <v>72</v>
      </c>
    </row>
    <row r="27" spans="1:8" x14ac:dyDescent="0.3">
      <c r="A27" s="2" t="s">
        <v>62</v>
      </c>
      <c r="B27" s="2" t="s">
        <v>63</v>
      </c>
      <c r="C27" s="2"/>
      <c r="D27" s="2" t="s">
        <v>14</v>
      </c>
      <c r="E27" s="2" t="s">
        <v>15</v>
      </c>
      <c r="F27" s="2">
        <v>6</v>
      </c>
      <c r="G27" s="3">
        <v>0.89</v>
      </c>
      <c r="H27" s="2">
        <v>77</v>
      </c>
    </row>
    <row r="28" spans="1:8" ht="28.8" x14ac:dyDescent="0.3">
      <c r="A28" s="2" t="s">
        <v>64</v>
      </c>
      <c r="B28" s="2" t="s">
        <v>65</v>
      </c>
      <c r="C28" s="2">
        <v>21</v>
      </c>
      <c r="D28" s="2" t="s">
        <v>10</v>
      </c>
      <c r="E28" s="2" t="s">
        <v>66</v>
      </c>
      <c r="F28" s="2">
        <v>5</v>
      </c>
      <c r="G28" s="3">
        <v>0.82</v>
      </c>
      <c r="H28" s="2">
        <v>71</v>
      </c>
    </row>
    <row r="29" spans="1:8" x14ac:dyDescent="0.3">
      <c r="A29" s="2" t="s">
        <v>67</v>
      </c>
      <c r="B29" s="2" t="s">
        <v>68</v>
      </c>
      <c r="C29" s="2">
        <v>20</v>
      </c>
      <c r="D29" s="2" t="s">
        <v>14</v>
      </c>
      <c r="E29" s="2" t="s">
        <v>11</v>
      </c>
      <c r="F29" s="2">
        <v>7</v>
      </c>
      <c r="G29" s="3">
        <v>1.05</v>
      </c>
      <c r="H29" s="2">
        <v>83</v>
      </c>
    </row>
    <row r="30" spans="1:8" x14ac:dyDescent="0.3">
      <c r="A30" s="2" t="s">
        <v>69</v>
      </c>
      <c r="B30" s="2" t="s">
        <v>70</v>
      </c>
      <c r="C30" s="2">
        <v>23</v>
      </c>
      <c r="D30" s="2" t="s">
        <v>10</v>
      </c>
      <c r="E30" s="2" t="s">
        <v>15</v>
      </c>
      <c r="F30" s="2">
        <v>3</v>
      </c>
      <c r="G30" s="3">
        <v>0.74</v>
      </c>
      <c r="H30" s="2"/>
    </row>
    <row r="31" spans="1:8" ht="28.8" x14ac:dyDescent="0.3">
      <c r="A31" s="2" t="s">
        <v>71</v>
      </c>
      <c r="B31" s="2" t="s">
        <v>72</v>
      </c>
      <c r="C31" s="2">
        <v>19</v>
      </c>
      <c r="D31" s="2" t="s">
        <v>73</v>
      </c>
      <c r="E31" s="2" t="s">
        <v>18</v>
      </c>
      <c r="F31" s="2">
        <v>-2</v>
      </c>
      <c r="G31" s="3">
        <v>0.88</v>
      </c>
      <c r="H31" s="2">
        <v>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52C76-0660-4C98-A218-03D793608A1E}">
  <dimension ref="A3:B5"/>
  <sheetViews>
    <sheetView workbookViewId="0">
      <selection activeCell="T10" sqref="T10"/>
    </sheetView>
  </sheetViews>
  <sheetFormatPr defaultRowHeight="14.4" x14ac:dyDescent="0.3"/>
  <cols>
    <col min="1" max="1" width="15.88671875" bestFit="1" customWidth="1"/>
    <col min="2" max="2" width="19.6640625" bestFit="1" customWidth="1"/>
  </cols>
  <sheetData>
    <row r="3" spans="1:2" x14ac:dyDescent="0.3">
      <c r="A3" s="19" t="s">
        <v>106</v>
      </c>
      <c r="B3" t="s">
        <v>108</v>
      </c>
    </row>
    <row r="4" spans="1:2" x14ac:dyDescent="0.3">
      <c r="A4" s="20" t="s">
        <v>18</v>
      </c>
      <c r="B4" s="21">
        <v>85</v>
      </c>
    </row>
    <row r="5" spans="1:2" x14ac:dyDescent="0.3">
      <c r="A5" s="20" t="s">
        <v>107</v>
      </c>
      <c r="B5" s="21">
        <v>85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15585-F6A1-41AF-851E-D98631B1445E}">
  <dimension ref="A3:B6"/>
  <sheetViews>
    <sheetView workbookViewId="0">
      <selection activeCell="T10" sqref="T10"/>
    </sheetView>
  </sheetViews>
  <sheetFormatPr defaultRowHeight="14.4" x14ac:dyDescent="0.3"/>
  <cols>
    <col min="1" max="1" width="12.44140625" bestFit="1" customWidth="1"/>
    <col min="2" max="2" width="16.88671875" bestFit="1" customWidth="1"/>
  </cols>
  <sheetData>
    <row r="3" spans="1:2" x14ac:dyDescent="0.3">
      <c r="A3" s="19" t="s">
        <v>106</v>
      </c>
      <c r="B3" t="s">
        <v>111</v>
      </c>
    </row>
    <row r="4" spans="1:2" x14ac:dyDescent="0.3">
      <c r="A4" s="20" t="s">
        <v>14</v>
      </c>
      <c r="B4">
        <v>15</v>
      </c>
    </row>
    <row r="5" spans="1:2" x14ac:dyDescent="0.3">
      <c r="A5" s="20" t="s">
        <v>10</v>
      </c>
      <c r="B5">
        <v>15</v>
      </c>
    </row>
    <row r="6" spans="1:2" x14ac:dyDescent="0.3">
      <c r="A6" s="20" t="s">
        <v>107</v>
      </c>
      <c r="B6">
        <v>30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7DF88-C40F-4744-881A-8845891DC5C7}">
  <dimension ref="A3:C8"/>
  <sheetViews>
    <sheetView workbookViewId="0">
      <selection activeCell="F5" sqref="F5"/>
    </sheetView>
  </sheetViews>
  <sheetFormatPr defaultRowHeight="14.4" x14ac:dyDescent="0.3"/>
  <cols>
    <col min="1" max="1" width="20" bestFit="1" customWidth="1"/>
  </cols>
  <sheetData>
    <row r="3" spans="1:3" x14ac:dyDescent="0.3">
      <c r="A3" t="s">
        <v>126</v>
      </c>
    </row>
    <row r="4" spans="1:3" x14ac:dyDescent="0.3">
      <c r="A4" s="21">
        <v>5.2333333333333334</v>
      </c>
    </row>
    <row r="5" spans="1:3" x14ac:dyDescent="0.3">
      <c r="A5" s="21">
        <f>AVERAGE(Table1[Study Hours])</f>
        <v>5.2333333333333334</v>
      </c>
    </row>
    <row r="8" spans="1:3" x14ac:dyDescent="0.3">
      <c r="C8" s="4"/>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36F87-F692-487E-8DA4-AD8A3601C555}">
  <dimension ref="A3:N11"/>
  <sheetViews>
    <sheetView workbookViewId="0">
      <selection activeCell="T10" sqref="T10"/>
    </sheetView>
  </sheetViews>
  <sheetFormatPr defaultRowHeight="14.4" x14ac:dyDescent="0.3"/>
  <cols>
    <col min="1" max="1" width="16.88671875" bestFit="1" customWidth="1"/>
  </cols>
  <sheetData>
    <row r="3" spans="1:14" x14ac:dyDescent="0.3">
      <c r="A3" t="s">
        <v>111</v>
      </c>
    </row>
    <row r="4" spans="1:14" x14ac:dyDescent="0.3">
      <c r="A4">
        <v>30</v>
      </c>
    </row>
    <row r="5" spans="1:14" x14ac:dyDescent="0.3">
      <c r="A5">
        <f>GETPIVOTDATA("Student ID",$A$3)</f>
        <v>30</v>
      </c>
    </row>
    <row r="11" spans="1:14" ht="25.8" x14ac:dyDescent="0.5">
      <c r="N11" s="29"/>
    </row>
  </sheetData>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291D-12BA-456D-BB2A-0FA2C0FD0CCB}">
  <dimension ref="A3:H13"/>
  <sheetViews>
    <sheetView workbookViewId="0">
      <selection activeCell="N16" sqref="N16"/>
    </sheetView>
  </sheetViews>
  <sheetFormatPr defaultRowHeight="14.4" x14ac:dyDescent="0.3"/>
  <cols>
    <col min="1" max="1" width="29.5546875" bestFit="1" customWidth="1"/>
  </cols>
  <sheetData>
    <row r="3" spans="1:8" x14ac:dyDescent="0.3">
      <c r="A3" t="s">
        <v>128</v>
      </c>
    </row>
    <row r="4" spans="1:8" x14ac:dyDescent="0.3">
      <c r="A4" s="30">
        <v>0.8663333333333334</v>
      </c>
    </row>
    <row r="5" spans="1:8" x14ac:dyDescent="0.3">
      <c r="A5" s="30">
        <f>GETPIVOTDATA("Attendance Percentage",$A$3)</f>
        <v>0.8663333333333334</v>
      </c>
    </row>
    <row r="6" spans="1:8" x14ac:dyDescent="0.3">
      <c r="A6" s="31"/>
    </row>
    <row r="13" spans="1:8" x14ac:dyDescent="0.3">
      <c r="H13" s="31"/>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Sheet1</vt:lpstr>
      <vt:lpstr>Cleaning log</vt:lpstr>
      <vt:lpstr>Validation Practice</vt:lpstr>
      <vt:lpstr>Summary Statistics</vt:lpstr>
      <vt:lpstr>Analysis</vt:lpstr>
      <vt:lpstr>Pivot Table</vt:lpstr>
      <vt:lpstr>Sheet3</vt:lpstr>
      <vt:lpstr>Sheet2</vt:lpstr>
      <vt:lpstr>Sheet2 (2)</vt:lpstr>
      <vt:lpstr>Sheet2 (3)</vt:lpstr>
      <vt:lpstr>Sheet2 (4)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okonkwo miracle</dc:creator>
  <cp:lastModifiedBy>okonkwo miracle</cp:lastModifiedBy>
  <dcterms:created xsi:type="dcterms:W3CDTF">2026-10-17T18:57:43Z</dcterms:created>
  <dcterms:modified xsi:type="dcterms:W3CDTF">2026-10-20T23:15:10Z</dcterms:modified>
</cp:coreProperties>
</file>